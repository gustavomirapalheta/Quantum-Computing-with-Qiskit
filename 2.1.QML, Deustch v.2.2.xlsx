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G:\Colab Notebooks\1.rodrigo, quantum\"/>
    </mc:Choice>
  </mc:AlternateContent>
  <xr:revisionPtr revIDLastSave="0" documentId="8_{C114A8EE-C865-4951-A575-3105CB3A4DC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7" i="1" l="1"/>
  <c r="P17" i="1"/>
  <c r="P16" i="1"/>
  <c r="O15" i="1"/>
  <c r="P15" i="1"/>
  <c r="P14" i="1"/>
  <c r="M17" i="1"/>
  <c r="N17" i="1"/>
  <c r="N16" i="1"/>
  <c r="M15" i="1"/>
  <c r="N15" i="1"/>
  <c r="N14" i="1"/>
  <c r="O16" i="1"/>
  <c r="O14" i="1"/>
  <c r="M16" i="1"/>
  <c r="M14" i="1"/>
  <c r="K15" i="1"/>
  <c r="J15" i="1"/>
  <c r="I15" i="1"/>
  <c r="H15" i="1"/>
  <c r="H16" i="1" s="1" a="1"/>
  <c r="O9" i="1"/>
  <c r="P9" i="1"/>
  <c r="P8" i="1"/>
  <c r="O11" i="1"/>
  <c r="P11" i="1"/>
  <c r="P10" i="1"/>
  <c r="M11" i="1"/>
  <c r="N11" i="1"/>
  <c r="N10" i="1"/>
  <c r="M9" i="1"/>
  <c r="N9" i="1"/>
  <c r="N8" i="1"/>
  <c r="O10" i="1"/>
  <c r="O8" i="1"/>
  <c r="M10" i="1"/>
  <c r="M8" i="1"/>
  <c r="H3" i="1"/>
  <c r="H4" i="1"/>
  <c r="H5" i="1"/>
  <c r="H2" i="1"/>
  <c r="F3" i="1"/>
  <c r="F4" i="1"/>
  <c r="F5" i="1"/>
  <c r="F2" i="1"/>
  <c r="E3" i="1"/>
  <c r="E4" i="1"/>
  <c r="E5" i="1"/>
  <c r="E2" i="1"/>
  <c r="H16" i="1" l="1"/>
  <c r="J16" i="1"/>
  <c r="I16" i="1"/>
  <c r="K16" i="1"/>
  <c r="I2" i="1"/>
  <c r="G8" i="1" s="1"/>
  <c r="I4" i="1"/>
  <c r="G10" i="1" s="1"/>
  <c r="I5" i="1"/>
  <c r="G11" i="1" s="1"/>
  <c r="I3" i="1"/>
  <c r="G9" i="1" s="1"/>
  <c r="I9" i="1"/>
  <c r="F8" i="1"/>
  <c r="I8" i="1"/>
  <c r="H8" i="1"/>
  <c r="F11" i="1"/>
  <c r="I11" i="1"/>
  <c r="H11" i="1"/>
  <c r="F10" i="1"/>
  <c r="H10" i="1"/>
  <c r="I10" i="1" l="1"/>
  <c r="H9" i="1"/>
  <c r="F9" i="1"/>
  <c r="H17" i="1" l="1" a="1"/>
  <c r="K17" i="1" l="1"/>
  <c r="H17" i="1"/>
  <c r="I17" i="1"/>
  <c r="J17" i="1"/>
  <c r="H18" i="1" l="1" a="1"/>
  <c r="H18" i="1" l="1"/>
  <c r="I18" i="1"/>
  <c r="K18" i="1"/>
  <c r="J18" i="1"/>
</calcChain>
</file>

<file path=xl/sharedStrings.xml><?xml version="1.0" encoding="utf-8"?>
<sst xmlns="http://schemas.openxmlformats.org/spreadsheetml/2006/main" count="37" uniqueCount="27">
  <si>
    <t>f(x)</t>
  </si>
  <si>
    <t>x</t>
  </si>
  <si>
    <t>y</t>
  </si>
  <si>
    <t>y XOR f(x)</t>
  </si>
  <si>
    <t>00</t>
  </si>
  <si>
    <t>01</t>
  </si>
  <si>
    <t>10</t>
  </si>
  <si>
    <t>11</t>
  </si>
  <si>
    <t>I1</t>
  </si>
  <si>
    <t>H1</t>
  </si>
  <si>
    <t>Entrada</t>
  </si>
  <si>
    <t>Saida</t>
  </si>
  <si>
    <t>Deustch = &lt;xy|.H2.Oracle.(H1I1)</t>
  </si>
  <si>
    <t>Oracle</t>
  </si>
  <si>
    <t>&lt;xy| =</t>
  </si>
  <si>
    <t>&lt;xy|.H2 =</t>
  </si>
  <si>
    <t>&lt;xy|.H2.Oracle =</t>
  </si>
  <si>
    <t>&lt;xy|.H2.Oracle.HI =</t>
  </si>
  <si>
    <t>x =</t>
  </si>
  <si>
    <t>y =</t>
  </si>
  <si>
    <t>&lt;q0q1|=</t>
  </si>
  <si>
    <t>Toda vez que a função é do tipo</t>
  </si>
  <si>
    <t xml:space="preserve"> BALANCEADA, o |x&gt; na saida é |1&gt;</t>
  </si>
  <si>
    <t>&lt;-Pergunta</t>
  </si>
  <si>
    <t xml:space="preserve"> CONSTANTE, o |x&gt; na saida é |0&gt;</t>
  </si>
  <si>
    <t>H2 = H1 x H1</t>
  </si>
  <si>
    <t>H1I1 = H1 x I1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</si>
</sst>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quotePrefix="1"/>
    <xf numFmtId="0" fontId="0" fillId="0" borderId="0" xfId="0" quotePrefix="1" applyAlignment="1">
      <alignment horizontal="right"/>
    </xf>
    <xf numFmtId="0" fontId="0" fillId="0" borderId="0" xfId="0" applyAlignment="1">
      <alignment horizontal="right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3" borderId="0" xfId="0" applyFill="1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0" xfId="0" applyBorder="1"/>
    <xf numFmtId="0" fontId="0" fillId="0" borderId="9" xfId="0" applyBorder="1"/>
    <xf numFmtId="0" fontId="0" fillId="0" borderId="10" xfId="0" applyBorder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P18"/>
  <sheetViews>
    <sheetView tabSelected="1" zoomScale="140" zoomScaleNormal="140" workbookViewId="0">
      <selection activeCell="D16" sqref="D16"/>
    </sheetView>
  </sheetViews>
  <sheetFormatPr defaultRowHeight="14.4" x14ac:dyDescent="0.3"/>
  <cols>
    <col min="12" max="13" width="9" customWidth="1"/>
  </cols>
  <sheetData>
    <row r="1" spans="1:16" x14ac:dyDescent="0.3">
      <c r="A1" s="8" t="s">
        <v>0</v>
      </c>
      <c r="B1" s="8" t="s">
        <v>1</v>
      </c>
      <c r="C1" s="8" t="s">
        <v>2</v>
      </c>
      <c r="E1" s="8" t="s">
        <v>1</v>
      </c>
      <c r="F1" s="8" t="s">
        <v>3</v>
      </c>
      <c r="G1" s="8"/>
      <c r="H1" s="8" t="s">
        <v>10</v>
      </c>
      <c r="I1" s="8" t="s">
        <v>11</v>
      </c>
      <c r="L1" t="s">
        <v>21</v>
      </c>
    </row>
    <row r="2" spans="1:16" x14ac:dyDescent="0.3">
      <c r="A2">
        <v>0</v>
      </c>
      <c r="B2" s="8">
        <v>0</v>
      </c>
      <c r="C2" s="8">
        <v>0</v>
      </c>
      <c r="E2" s="8">
        <f>B2</f>
        <v>0</v>
      </c>
      <c r="F2" s="8">
        <f>_xlfn.XOR(C2,A2)*1</f>
        <v>0</v>
      </c>
      <c r="G2" s="8"/>
      <c r="H2" s="8" t="str">
        <f>B2&amp;C2</f>
        <v>00</v>
      </c>
      <c r="I2" s="8" t="str">
        <f>E2&amp;F2</f>
        <v>00</v>
      </c>
      <c r="L2" t="s">
        <v>22</v>
      </c>
    </row>
    <row r="3" spans="1:16" x14ac:dyDescent="0.3">
      <c r="A3" s="1">
        <v>0</v>
      </c>
      <c r="B3" s="8">
        <v>0</v>
      </c>
      <c r="C3" s="8">
        <v>1</v>
      </c>
      <c r="E3" s="8">
        <f t="shared" ref="E3:E5" si="0">B3</f>
        <v>0</v>
      </c>
      <c r="F3" s="8">
        <f t="shared" ref="F3:F5" si="1">_xlfn.XOR(C3,A3)*1</f>
        <v>1</v>
      </c>
      <c r="G3" s="8"/>
      <c r="H3" s="8" t="str">
        <f t="shared" ref="H3:H5" si="2">B3&amp;C3</f>
        <v>01</v>
      </c>
      <c r="I3" s="8" t="str">
        <f t="shared" ref="I3:I5" si="3">E3&amp;F3</f>
        <v>01</v>
      </c>
    </row>
    <row r="4" spans="1:16" x14ac:dyDescent="0.3">
      <c r="A4">
        <v>1</v>
      </c>
      <c r="B4" s="8">
        <v>1</v>
      </c>
      <c r="C4" s="8">
        <v>0</v>
      </c>
      <c r="E4" s="8">
        <f t="shared" si="0"/>
        <v>1</v>
      </c>
      <c r="F4" s="8">
        <f t="shared" si="1"/>
        <v>1</v>
      </c>
      <c r="G4" s="8"/>
      <c r="H4" s="8" t="str">
        <f t="shared" si="2"/>
        <v>10</v>
      </c>
      <c r="I4" s="8" t="str">
        <f t="shared" si="3"/>
        <v>11</v>
      </c>
      <c r="L4" t="s">
        <v>21</v>
      </c>
    </row>
    <row r="5" spans="1:16" x14ac:dyDescent="0.3">
      <c r="A5">
        <v>1</v>
      </c>
      <c r="B5" s="8">
        <v>1</v>
      </c>
      <c r="C5" s="8">
        <v>1</v>
      </c>
      <c r="E5" s="8">
        <f t="shared" si="0"/>
        <v>1</v>
      </c>
      <c r="F5" s="8">
        <f t="shared" si="1"/>
        <v>0</v>
      </c>
      <c r="G5" s="8"/>
      <c r="H5" s="8" t="str">
        <f t="shared" si="2"/>
        <v>11</v>
      </c>
      <c r="I5" s="8" t="str">
        <f t="shared" si="3"/>
        <v>10</v>
      </c>
      <c r="L5" t="s">
        <v>24</v>
      </c>
    </row>
    <row r="6" spans="1:16" x14ac:dyDescent="0.3">
      <c r="E6" s="8"/>
      <c r="F6" s="8"/>
      <c r="G6" s="8"/>
      <c r="H6" s="8"/>
      <c r="I6" s="8"/>
    </row>
    <row r="7" spans="1:16" ht="15" thickBot="1" x14ac:dyDescent="0.35">
      <c r="A7" t="s">
        <v>9</v>
      </c>
      <c r="E7" s="8" t="s">
        <v>13</v>
      </c>
      <c r="F7" s="9" t="s">
        <v>4</v>
      </c>
      <c r="G7" s="9" t="s">
        <v>5</v>
      </c>
      <c r="H7" s="9" t="s">
        <v>6</v>
      </c>
      <c r="I7" s="9" t="s">
        <v>7</v>
      </c>
      <c r="M7" t="s">
        <v>25</v>
      </c>
    </row>
    <row r="8" spans="1:16" x14ac:dyDescent="0.3">
      <c r="A8" s="4">
        <v>1</v>
      </c>
      <c r="B8" s="5">
        <v>1</v>
      </c>
      <c r="E8" s="9" t="s">
        <v>4</v>
      </c>
      <c r="F8" s="10">
        <f t="shared" ref="F8:I11" si="4">(VLOOKUP($E8,$H$2:$I$5,2,0)=F$7)*1</f>
        <v>1</v>
      </c>
      <c r="G8" s="11">
        <f t="shared" si="4"/>
        <v>0</v>
      </c>
      <c r="H8" s="11">
        <f t="shared" si="4"/>
        <v>0</v>
      </c>
      <c r="I8" s="12">
        <f t="shared" si="4"/>
        <v>0</v>
      </c>
      <c r="L8" s="1"/>
      <c r="M8" s="4">
        <f>$A$8*A8</f>
        <v>1</v>
      </c>
      <c r="N8" s="21">
        <f>$A$8*B8</f>
        <v>1</v>
      </c>
      <c r="O8" s="21">
        <f>$B$8*A8</f>
        <v>1</v>
      </c>
      <c r="P8" s="5">
        <f>$B$8*B8</f>
        <v>1</v>
      </c>
    </row>
    <row r="9" spans="1:16" ht="15" thickBot="1" x14ac:dyDescent="0.35">
      <c r="A9" s="6">
        <v>1</v>
      </c>
      <c r="B9" s="7">
        <v>-1</v>
      </c>
      <c r="E9" s="9" t="s">
        <v>5</v>
      </c>
      <c r="F9" s="13">
        <f t="shared" si="4"/>
        <v>0</v>
      </c>
      <c r="G9" s="8">
        <f t="shared" si="4"/>
        <v>1</v>
      </c>
      <c r="H9" s="8">
        <f t="shared" si="4"/>
        <v>0</v>
      </c>
      <c r="I9" s="14">
        <f t="shared" si="4"/>
        <v>0</v>
      </c>
      <c r="M9" s="22">
        <f>$A$8*A9</f>
        <v>1</v>
      </c>
      <c r="N9" s="23">
        <f>$A$8*B9</f>
        <v>-1</v>
      </c>
      <c r="O9" s="23">
        <f>$B$8*A9</f>
        <v>1</v>
      </c>
      <c r="P9" s="24">
        <f>$B$8*B9</f>
        <v>-1</v>
      </c>
    </row>
    <row r="10" spans="1:16" x14ac:dyDescent="0.3">
      <c r="E10" s="9" t="s">
        <v>6</v>
      </c>
      <c r="F10" s="13">
        <f t="shared" si="4"/>
        <v>0</v>
      </c>
      <c r="G10" s="8">
        <f t="shared" si="4"/>
        <v>0</v>
      </c>
      <c r="H10" s="8">
        <f t="shared" si="4"/>
        <v>0</v>
      </c>
      <c r="I10" s="14">
        <f t="shared" si="4"/>
        <v>1</v>
      </c>
      <c r="M10" s="22">
        <f>$A$9*A8</f>
        <v>1</v>
      </c>
      <c r="N10" s="23">
        <f>$A$9*B8</f>
        <v>1</v>
      </c>
      <c r="O10" s="23">
        <f>$B$9*A8</f>
        <v>-1</v>
      </c>
      <c r="P10" s="24">
        <f>$B$9*B8</f>
        <v>-1</v>
      </c>
    </row>
    <row r="11" spans="1:16" ht="15" thickBot="1" x14ac:dyDescent="0.35">
      <c r="A11" t="s">
        <v>8</v>
      </c>
      <c r="E11" s="9" t="s">
        <v>7</v>
      </c>
      <c r="F11" s="15">
        <f t="shared" si="4"/>
        <v>0</v>
      </c>
      <c r="G11" s="16">
        <f t="shared" si="4"/>
        <v>0</v>
      </c>
      <c r="H11" s="16">
        <f t="shared" si="4"/>
        <v>1</v>
      </c>
      <c r="I11" s="17">
        <f t="shared" si="4"/>
        <v>0</v>
      </c>
      <c r="L11" s="1"/>
      <c r="M11" s="6">
        <f>$A$9*A9</f>
        <v>1</v>
      </c>
      <c r="N11" s="25">
        <f>$A$9*B9</f>
        <v>-1</v>
      </c>
      <c r="O11" s="25">
        <f>$B$9*A9</f>
        <v>-1</v>
      </c>
      <c r="P11" s="7">
        <f>$B$9*B9</f>
        <v>1</v>
      </c>
    </row>
    <row r="12" spans="1:16" x14ac:dyDescent="0.3">
      <c r="A12" s="4">
        <v>1</v>
      </c>
      <c r="B12" s="5">
        <v>0</v>
      </c>
    </row>
    <row r="13" spans="1:16" ht="15" thickBot="1" x14ac:dyDescent="0.35">
      <c r="A13" s="6">
        <v>0</v>
      </c>
      <c r="B13" s="7">
        <v>1</v>
      </c>
      <c r="H13" t="s">
        <v>12</v>
      </c>
      <c r="M13" s="26" t="s">
        <v>26</v>
      </c>
    </row>
    <row r="14" spans="1:16" x14ac:dyDescent="0.3">
      <c r="G14" s="3" t="s">
        <v>20</v>
      </c>
      <c r="H14" s="2" t="s">
        <v>4</v>
      </c>
      <c r="I14" s="2" t="s">
        <v>5</v>
      </c>
      <c r="J14" s="2" t="s">
        <v>6</v>
      </c>
      <c r="K14" s="2" t="s">
        <v>7</v>
      </c>
      <c r="M14" s="4">
        <f>$A$8*A12</f>
        <v>1</v>
      </c>
      <c r="N14" s="21">
        <f>$A$8*B12</f>
        <v>0</v>
      </c>
      <c r="O14" s="21">
        <f>$B$8*A12</f>
        <v>1</v>
      </c>
      <c r="P14" s="5">
        <f>$B$8*B12</f>
        <v>0</v>
      </c>
    </row>
    <row r="15" spans="1:16" ht="15" thickBot="1" x14ac:dyDescent="0.35">
      <c r="B15" s="9"/>
      <c r="C15" s="9"/>
      <c r="D15" s="8"/>
      <c r="G15" s="3" t="s">
        <v>14</v>
      </c>
      <c r="H15">
        <f>$B$16*B17</f>
        <v>0</v>
      </c>
      <c r="I15">
        <f>$B$16*C17</f>
        <v>1</v>
      </c>
      <c r="J15">
        <f>$C$16*B17</f>
        <v>0</v>
      </c>
      <c r="K15">
        <f>$C$16*C17</f>
        <v>0</v>
      </c>
      <c r="M15" s="22">
        <f>$A$8*A13</f>
        <v>0</v>
      </c>
      <c r="N15" s="23">
        <f>$A$8*B13</f>
        <v>1</v>
      </c>
      <c r="O15" s="23">
        <f>$B$8*A13</f>
        <v>0</v>
      </c>
      <c r="P15" s="24">
        <f>$B$8*B13</f>
        <v>1</v>
      </c>
    </row>
    <row r="16" spans="1:16" ht="15" thickBot="1" x14ac:dyDescent="0.35">
      <c r="A16" s="3" t="s">
        <v>18</v>
      </c>
      <c r="B16" s="19">
        <v>1</v>
      </c>
      <c r="C16" s="20">
        <v>0</v>
      </c>
      <c r="D16" s="8" t="s">
        <v>23</v>
      </c>
      <c r="G16" s="2" t="s">
        <v>15</v>
      </c>
      <c r="H16" s="1">
        <f t="array" ref="H16:K16">MMULT(H15:K15,M8:P11)</f>
        <v>1</v>
      </c>
      <c r="I16">
        <v>-1</v>
      </c>
      <c r="J16">
        <v>1</v>
      </c>
      <c r="K16">
        <v>-1</v>
      </c>
      <c r="M16" s="22">
        <f>$A$9*A12</f>
        <v>1</v>
      </c>
      <c r="N16" s="23">
        <f>$A$9*B12</f>
        <v>0</v>
      </c>
      <c r="O16" s="23">
        <f>$B$9*A12</f>
        <v>-1</v>
      </c>
      <c r="P16" s="24">
        <f>$B$9*B12</f>
        <v>0</v>
      </c>
    </row>
    <row r="17" spans="1:16" ht="15" thickBot="1" x14ac:dyDescent="0.35">
      <c r="A17" s="3" t="s">
        <v>19</v>
      </c>
      <c r="B17" s="19">
        <v>0</v>
      </c>
      <c r="C17" s="20">
        <v>1</v>
      </c>
      <c r="D17" s="8"/>
      <c r="G17" s="2" t="s">
        <v>16</v>
      </c>
      <c r="H17">
        <f t="array" ref="H17:K17">MMULT(H16:K16,F8:I11)</f>
        <v>1</v>
      </c>
      <c r="I17">
        <v>-1</v>
      </c>
      <c r="J17">
        <v>-1</v>
      </c>
      <c r="K17">
        <v>1</v>
      </c>
      <c r="M17" s="6">
        <f>$A$9*A13</f>
        <v>0</v>
      </c>
      <c r="N17" s="25">
        <f>$A$9*B13</f>
        <v>1</v>
      </c>
      <c r="O17" s="25">
        <f>$B$9*A13</f>
        <v>0</v>
      </c>
      <c r="P17" s="7">
        <f>$B$9*B13</f>
        <v>-1</v>
      </c>
    </row>
    <row r="18" spans="1:16" x14ac:dyDescent="0.3">
      <c r="G18" s="2" t="s">
        <v>17</v>
      </c>
      <c r="H18" s="18">
        <f t="array" ref="H18:K18">MMULT(H17:K17,M14:P17)</f>
        <v>0</v>
      </c>
      <c r="I18" s="18">
        <v>0</v>
      </c>
      <c r="J18" s="18">
        <v>2</v>
      </c>
      <c r="K18" s="18">
        <v>-2</v>
      </c>
      <c r="M18" s="9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</dc:creator>
  <cp:lastModifiedBy>gustavo</cp:lastModifiedBy>
  <dcterms:created xsi:type="dcterms:W3CDTF">2024-02-20T23:24:23Z</dcterms:created>
  <dcterms:modified xsi:type="dcterms:W3CDTF">2025-04-14T02:21:24Z</dcterms:modified>
</cp:coreProperties>
</file>