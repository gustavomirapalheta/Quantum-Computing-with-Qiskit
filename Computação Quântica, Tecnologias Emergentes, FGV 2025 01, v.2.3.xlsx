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olab Notebooks\1.rodrigo, quantum\"/>
    </mc:Choice>
  </mc:AlternateContent>
  <xr:revisionPtr revIDLastSave="0" documentId="13_ncr:1_{46B8D2E8-727C-43FE-8BC3-007FB722E523}" xr6:coauthVersionLast="47" xr6:coauthVersionMax="47" xr10:uidLastSave="{00000000-0000-0000-0000-000000000000}"/>
  <bookViews>
    <workbookView xWindow="-108" yWindow="-108" windowWidth="23256" windowHeight="12576" xr2:uid="{E0956CBA-4A3A-4255-9571-E6F8D5135C6E}"/>
  </bookViews>
  <sheets>
    <sheet name="Evolução Simplificada (3)" sheetId="7" r:id="rId1"/>
    <sheet name="Evolução Simplificada (2)" sheetId="6" r:id="rId2"/>
    <sheet name="Evolução Simplificada" sheetId="4" r:id="rId3"/>
    <sheet name="Evolução Detalhada" sheetId="1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7" l="1"/>
  <c r="B5" i="7"/>
  <c r="B6" i="7"/>
  <c r="B7" i="7"/>
  <c r="B8" i="7"/>
  <c r="B9" i="7"/>
  <c r="B10" i="7"/>
  <c r="B11" i="7"/>
  <c r="B12" i="7"/>
  <c r="B3" i="7"/>
  <c r="A4" i="7"/>
  <c r="A5" i="7"/>
  <c r="A6" i="7" s="1"/>
  <c r="A7" i="7" s="1"/>
  <c r="A8" i="7" s="1"/>
  <c r="A9" i="7" s="1"/>
  <c r="A10" i="7" s="1"/>
  <c r="A11" i="7" s="1"/>
  <c r="A12" i="7" s="1"/>
  <c r="A3" i="7"/>
  <c r="K9" i="7"/>
  <c r="K8" i="7"/>
  <c r="M3" i="7"/>
  <c r="O3" i="7" s="1"/>
  <c r="K3" i="7"/>
  <c r="K2" i="7"/>
  <c r="B2" i="7"/>
  <c r="K8" i="6"/>
  <c r="K2" i="6"/>
  <c r="K9" i="6"/>
  <c r="K3" i="6"/>
  <c r="B2" i="6"/>
  <c r="C2" i="6" s="1"/>
  <c r="E2" i="6" s="1"/>
  <c r="M16" i="4"/>
  <c r="B3" i="4"/>
  <c r="E3" i="4"/>
  <c r="B4" i="4"/>
  <c r="B5" i="4" s="1"/>
  <c r="B6" i="4" s="1"/>
  <c r="B7" i="4" s="1"/>
  <c r="B8" i="4" s="1"/>
  <c r="B9" i="4" s="1"/>
  <c r="B10" i="4" s="1"/>
  <c r="B11" i="4" s="1"/>
  <c r="B12" i="4" s="1"/>
  <c r="B13" i="4" s="1"/>
  <c r="E4" i="4"/>
  <c r="E5" i="4" s="1"/>
  <c r="E6" i="4" s="1"/>
  <c r="E7" i="4" s="1"/>
  <c r="E8" i="4" s="1"/>
  <c r="E9" i="4" s="1"/>
  <c r="E10" i="4" s="1"/>
  <c r="E11" i="4" s="1"/>
  <c r="E12" i="4" s="1"/>
  <c r="E13" i="4" s="1"/>
  <c r="C3" i="4"/>
  <c r="G3" i="4" s="1"/>
  <c r="H3" i="4" s="1"/>
  <c r="R4" i="1"/>
  <c r="Q5" i="1"/>
  <c r="Q6" i="1"/>
  <c r="Q7" i="1"/>
  <c r="Q8" i="1"/>
  <c r="Q9" i="1"/>
  <c r="Q10" i="1"/>
  <c r="Q11" i="1"/>
  <c r="Q12" i="1"/>
  <c r="Q13" i="1"/>
  <c r="Q4" i="1"/>
  <c r="P5" i="1"/>
  <c r="P6" i="1"/>
  <c r="P7" i="1"/>
  <c r="P8" i="1"/>
  <c r="P9" i="1"/>
  <c r="P10" i="1"/>
  <c r="P11" i="1"/>
  <c r="P12" i="1"/>
  <c r="P13" i="1"/>
  <c r="P4" i="1"/>
  <c r="N5" i="1"/>
  <c r="N6" i="1"/>
  <c r="N7" i="1"/>
  <c r="N8" i="1"/>
  <c r="N9" i="1"/>
  <c r="N10" i="1" s="1"/>
  <c r="N11" i="1" s="1"/>
  <c r="N12" i="1" s="1"/>
  <c r="N13" i="1" s="1"/>
  <c r="N4" i="1"/>
  <c r="J4" i="1"/>
  <c r="K4" i="1" s="1"/>
  <c r="F5" i="1"/>
  <c r="F6" i="1" s="1"/>
  <c r="F7" i="1" s="1"/>
  <c r="F8" i="1" s="1"/>
  <c r="F9" i="1" s="1"/>
  <c r="F10" i="1" s="1"/>
  <c r="F11" i="1" s="1"/>
  <c r="F12" i="1" s="1"/>
  <c r="F13" i="1" s="1"/>
  <c r="F4" i="1"/>
  <c r="G4" i="1" s="1"/>
  <c r="G5" i="1" s="1"/>
  <c r="G6" i="1" s="1"/>
  <c r="G7" i="1" s="1"/>
  <c r="G8" i="1" s="1"/>
  <c r="G9" i="1" s="1"/>
  <c r="G10" i="1" s="1"/>
  <c r="G11" i="1" s="1"/>
  <c r="G12" i="1" s="1"/>
  <c r="G13" i="1" s="1"/>
  <c r="H4" i="1"/>
  <c r="H5" i="1" s="1"/>
  <c r="H6" i="1" s="1"/>
  <c r="H7" i="1" s="1"/>
  <c r="H8" i="1" s="1"/>
  <c r="H9" i="1" s="1"/>
  <c r="H10" i="1" s="1"/>
  <c r="H11" i="1" s="1"/>
  <c r="H12" i="1" s="1"/>
  <c r="H13" i="1" s="1"/>
  <c r="B4" i="1"/>
  <c r="B5" i="1" s="1"/>
  <c r="B6" i="1" s="1"/>
  <c r="B7" i="1" s="1"/>
  <c r="B8" i="1" s="1"/>
  <c r="B9" i="1" s="1"/>
  <c r="B10" i="1" s="1"/>
  <c r="B11" i="1" s="1"/>
  <c r="B12" i="1" s="1"/>
  <c r="B13" i="1" s="1"/>
  <c r="E19" i="1"/>
  <c r="D19" i="1"/>
  <c r="C20" i="1"/>
  <c r="C21" i="1"/>
  <c r="C22" i="1"/>
  <c r="C23" i="1"/>
  <c r="C24" i="1"/>
  <c r="C25" i="1"/>
  <c r="C26" i="1"/>
  <c r="C27" i="1"/>
  <c r="C28" i="1"/>
  <c r="C29" i="1"/>
  <c r="C19" i="1"/>
  <c r="W3" i="1"/>
  <c r="V3" i="1"/>
  <c r="U3" i="1"/>
  <c r="T3" i="1"/>
  <c r="O4" i="1"/>
  <c r="L3" i="1"/>
  <c r="M3" i="1"/>
  <c r="D3" i="1"/>
  <c r="E3" i="1" s="1"/>
  <c r="B3" i="6" l="1"/>
  <c r="B4" i="6" s="1"/>
  <c r="B5" i="6" s="1"/>
  <c r="B6" i="6" s="1"/>
  <c r="B7" i="6" s="1"/>
  <c r="B8" i="6" s="1"/>
  <c r="B9" i="6" s="1"/>
  <c r="B10" i="6" s="1"/>
  <c r="B11" i="6" s="1"/>
  <c r="B12" i="6" s="1"/>
  <c r="D2" i="6"/>
  <c r="M3" i="6"/>
  <c r="O3" i="6" s="1"/>
  <c r="C4" i="4"/>
  <c r="D3" i="4"/>
  <c r="F3" i="4" s="1"/>
  <c r="I4" i="1"/>
  <c r="I5" i="1" s="1"/>
  <c r="I6" i="1" s="1"/>
  <c r="I7" i="1" s="1"/>
  <c r="I8" i="1" s="1"/>
  <c r="I9" i="1" s="1"/>
  <c r="I10" i="1" s="1"/>
  <c r="I11" i="1" s="1"/>
  <c r="I12" i="1" s="1"/>
  <c r="J5" i="1"/>
  <c r="J6" i="1" s="1"/>
  <c r="J7" i="1" s="1"/>
  <c r="J8" i="1" s="1"/>
  <c r="J9" i="1" s="1"/>
  <c r="J10" i="1" s="1"/>
  <c r="J11" i="1" s="1"/>
  <c r="J12" i="1" s="1"/>
  <c r="J13" i="1" s="1"/>
  <c r="R5" i="1"/>
  <c r="R6" i="1" s="1"/>
  <c r="R7" i="1" s="1"/>
  <c r="R8" i="1" s="1"/>
  <c r="R9" i="1" s="1"/>
  <c r="R10" i="1" s="1"/>
  <c r="R11" i="1" s="1"/>
  <c r="R12" i="1" s="1"/>
  <c r="R13" i="1" s="1"/>
  <c r="S4" i="1"/>
  <c r="S5" i="1" s="1"/>
  <c r="S6" i="1" s="1"/>
  <c r="S7" i="1" s="1"/>
  <c r="S8" i="1" s="1"/>
  <c r="S9" i="1" s="1"/>
  <c r="S10" i="1" s="1"/>
  <c r="S11" i="1" s="1"/>
  <c r="S12" i="1" s="1"/>
  <c r="S13" i="1" s="1"/>
  <c r="O5" i="1"/>
  <c r="O6" i="1"/>
  <c r="O7" i="1" s="1"/>
  <c r="O8" i="1" s="1"/>
  <c r="O9" i="1" s="1"/>
  <c r="O10" i="1" s="1"/>
  <c r="O11" i="1" s="1"/>
  <c r="O12" i="1" s="1"/>
  <c r="O13" i="1" s="1"/>
  <c r="K5" i="1"/>
  <c r="K6" i="1" s="1"/>
  <c r="K7" i="1" s="1"/>
  <c r="K8" i="1" s="1"/>
  <c r="K9" i="1" s="1"/>
  <c r="K10" i="1" s="1"/>
  <c r="K11" i="1" s="1"/>
  <c r="K12" i="1" s="1"/>
  <c r="K13" i="1" s="1"/>
  <c r="C4" i="1"/>
  <c r="D4" i="1" s="1"/>
  <c r="E4" i="1" s="1"/>
  <c r="M4" i="1"/>
  <c r="T4" i="1" s="1"/>
  <c r="D20" i="1"/>
  <c r="C5" i="1"/>
  <c r="D21" i="1" s="1"/>
  <c r="F2" i="6" l="1"/>
  <c r="C3" i="6"/>
  <c r="I3" i="4"/>
  <c r="J3" i="4" s="1"/>
  <c r="K3" i="4" s="1"/>
  <c r="C5" i="4"/>
  <c r="G4" i="4"/>
  <c r="H4" i="4" s="1"/>
  <c r="D4" i="4"/>
  <c r="F4" i="4" s="1"/>
  <c r="L4" i="1"/>
  <c r="U4" i="1"/>
  <c r="V4" i="1" s="1"/>
  <c r="W4" i="1" s="1"/>
  <c r="E20" i="1" s="1"/>
  <c r="I13" i="1"/>
  <c r="D5" i="1"/>
  <c r="C6" i="1"/>
  <c r="D22" i="1" s="1"/>
  <c r="D3" i="6" l="1"/>
  <c r="E3" i="6"/>
  <c r="F3" i="6" s="1"/>
  <c r="C4" i="6"/>
  <c r="I4" i="4"/>
  <c r="J4" i="4" s="1"/>
  <c r="K4" i="4" s="1"/>
  <c r="D5" i="4"/>
  <c r="F5" i="4" s="1"/>
  <c r="G5" i="4"/>
  <c r="H5" i="4" s="1"/>
  <c r="C6" i="4"/>
  <c r="E5" i="1"/>
  <c r="L5" i="1" s="1"/>
  <c r="M5" i="1"/>
  <c r="T5" i="1" s="1"/>
  <c r="D6" i="1"/>
  <c r="C7" i="1"/>
  <c r="D23" i="1" s="1"/>
  <c r="D4" i="6" l="1"/>
  <c r="E4" i="6"/>
  <c r="C5" i="6"/>
  <c r="D6" i="4"/>
  <c r="F6" i="4" s="1"/>
  <c r="G6" i="4"/>
  <c r="H6" i="4" s="1"/>
  <c r="C7" i="4"/>
  <c r="I5" i="4"/>
  <c r="J5" i="4" s="1"/>
  <c r="K5" i="4" s="1"/>
  <c r="U5" i="1"/>
  <c r="V5" i="1" s="1"/>
  <c r="W5" i="1" s="1"/>
  <c r="E21" i="1" s="1"/>
  <c r="E6" i="1"/>
  <c r="L6" i="1" s="1"/>
  <c r="M6" i="1"/>
  <c r="T6" i="1" s="1"/>
  <c r="D7" i="1"/>
  <c r="C8" i="1"/>
  <c r="D24" i="1" s="1"/>
  <c r="D5" i="6" l="1"/>
  <c r="E5" i="6"/>
  <c r="F5" i="6" s="1"/>
  <c r="F4" i="6"/>
  <c r="C6" i="6"/>
  <c r="D7" i="4"/>
  <c r="F7" i="4" s="1"/>
  <c r="G7" i="4"/>
  <c r="H7" i="4" s="1"/>
  <c r="C8" i="4"/>
  <c r="I6" i="4"/>
  <c r="J6" i="4" s="1"/>
  <c r="K6" i="4" s="1"/>
  <c r="U6" i="1"/>
  <c r="V6" i="1" s="1"/>
  <c r="W6" i="1" s="1"/>
  <c r="E22" i="1" s="1"/>
  <c r="E7" i="1"/>
  <c r="L7" i="1" s="1"/>
  <c r="M7" i="1"/>
  <c r="T7" i="1" s="1"/>
  <c r="D8" i="1"/>
  <c r="C9" i="1"/>
  <c r="D25" i="1" s="1"/>
  <c r="D6" i="6" l="1"/>
  <c r="E6" i="6"/>
  <c r="C7" i="6"/>
  <c r="D8" i="4"/>
  <c r="F8" i="4" s="1"/>
  <c r="G8" i="4"/>
  <c r="H8" i="4" s="1"/>
  <c r="C9" i="4"/>
  <c r="I7" i="4"/>
  <c r="J7" i="4" s="1"/>
  <c r="K7" i="4" s="1"/>
  <c r="U7" i="1"/>
  <c r="V7" i="1" s="1"/>
  <c r="W7" i="1" s="1"/>
  <c r="E23" i="1" s="1"/>
  <c r="E8" i="1"/>
  <c r="L8" i="1" s="1"/>
  <c r="M8" i="1"/>
  <c r="T8" i="1" s="1"/>
  <c r="D9" i="1"/>
  <c r="C10" i="1"/>
  <c r="D26" i="1" s="1"/>
  <c r="D7" i="6" l="1"/>
  <c r="E7" i="6"/>
  <c r="F6" i="6"/>
  <c r="C8" i="6"/>
  <c r="G9" i="4"/>
  <c r="H9" i="4" s="1"/>
  <c r="D9" i="4"/>
  <c r="F9" i="4" s="1"/>
  <c r="C10" i="4"/>
  <c r="I8" i="4"/>
  <c r="J8" i="4" s="1"/>
  <c r="K8" i="4" s="1"/>
  <c r="U8" i="1"/>
  <c r="V8" i="1" s="1"/>
  <c r="W8" i="1" s="1"/>
  <c r="E24" i="1" s="1"/>
  <c r="E9" i="1"/>
  <c r="L9" i="1" s="1"/>
  <c r="M9" i="1"/>
  <c r="T9" i="1" s="1"/>
  <c r="D10" i="1"/>
  <c r="C11" i="1"/>
  <c r="D27" i="1" s="1"/>
  <c r="F7" i="6" l="1"/>
  <c r="D8" i="6"/>
  <c r="E8" i="6"/>
  <c r="C9" i="6"/>
  <c r="D10" i="4"/>
  <c r="F10" i="4" s="1"/>
  <c r="G10" i="4"/>
  <c r="H10" i="4" s="1"/>
  <c r="C11" i="4"/>
  <c r="I9" i="4"/>
  <c r="J9" i="4" s="1"/>
  <c r="K9" i="4" s="1"/>
  <c r="U9" i="1"/>
  <c r="V9" i="1" s="1"/>
  <c r="W9" i="1" s="1"/>
  <c r="E25" i="1" s="1"/>
  <c r="E10" i="1"/>
  <c r="L10" i="1" s="1"/>
  <c r="M10" i="1"/>
  <c r="T10" i="1" s="1"/>
  <c r="D11" i="1"/>
  <c r="C12" i="1"/>
  <c r="D28" i="1" s="1"/>
  <c r="D9" i="6" l="1"/>
  <c r="E9" i="6"/>
  <c r="F8" i="6"/>
  <c r="C10" i="6"/>
  <c r="C12" i="4"/>
  <c r="G11" i="4"/>
  <c r="H11" i="4" s="1"/>
  <c r="D11" i="4"/>
  <c r="F11" i="4" s="1"/>
  <c r="I10" i="4"/>
  <c r="J10" i="4" s="1"/>
  <c r="K10" i="4" s="1"/>
  <c r="U10" i="1"/>
  <c r="V10" i="1" s="1"/>
  <c r="W10" i="1" s="1"/>
  <c r="E26" i="1" s="1"/>
  <c r="E11" i="1"/>
  <c r="L11" i="1" s="1"/>
  <c r="M11" i="1"/>
  <c r="T11" i="1" s="1"/>
  <c r="D12" i="1"/>
  <c r="C13" i="1"/>
  <c r="F9" i="6" l="1"/>
  <c r="D10" i="6"/>
  <c r="E10" i="6"/>
  <c r="C11" i="6"/>
  <c r="C12" i="6"/>
  <c r="I11" i="4"/>
  <c r="J11" i="4" s="1"/>
  <c r="K11" i="4" s="1"/>
  <c r="C13" i="4"/>
  <c r="G12" i="4"/>
  <c r="H12" i="4" s="1"/>
  <c r="D12" i="4"/>
  <c r="F12" i="4" s="1"/>
  <c r="U11" i="1"/>
  <c r="V11" i="1" s="1"/>
  <c r="W11" i="1" s="1"/>
  <c r="E27" i="1" s="1"/>
  <c r="E12" i="1"/>
  <c r="L12" i="1" s="1"/>
  <c r="M12" i="1"/>
  <c r="T12" i="1" s="1"/>
  <c r="D13" i="1"/>
  <c r="D29" i="1"/>
  <c r="D11" i="6" l="1"/>
  <c r="E11" i="6"/>
  <c r="D12" i="6"/>
  <c r="E12" i="6"/>
  <c r="F10" i="6"/>
  <c r="G13" i="4"/>
  <c r="H13" i="4" s="1"/>
  <c r="D13" i="4"/>
  <c r="F13" i="4" s="1"/>
  <c r="I12" i="4"/>
  <c r="J12" i="4" s="1"/>
  <c r="K12" i="4" s="1"/>
  <c r="U12" i="1"/>
  <c r="V12" i="1" s="1"/>
  <c r="W12" i="1" s="1"/>
  <c r="E28" i="1" s="1"/>
  <c r="E13" i="1"/>
  <c r="L13" i="1" s="1"/>
  <c r="M13" i="1"/>
  <c r="T13" i="1" s="1"/>
  <c r="F12" i="6" l="1"/>
  <c r="F11" i="6"/>
  <c r="I13" i="4"/>
  <c r="J13" i="4" s="1"/>
  <c r="K13" i="4" s="1"/>
  <c r="U13" i="1"/>
  <c r="V13" i="1" s="1"/>
  <c r="W13" i="1" s="1"/>
  <c r="E29" i="1" s="1"/>
</calcChain>
</file>

<file path=xl/sharedStrings.xml><?xml version="1.0" encoding="utf-8"?>
<sst xmlns="http://schemas.openxmlformats.org/spreadsheetml/2006/main" count="139" uniqueCount="57">
  <si>
    <t>Ano</t>
  </si>
  <si>
    <t>N = 2^n</t>
  </si>
  <si>
    <t>Clássico</t>
  </si>
  <si>
    <t>Clock</t>
  </si>
  <si>
    <t>$/seg</t>
  </si>
  <si>
    <t>$/hora</t>
  </si>
  <si>
    <t>Cores</t>
  </si>
  <si>
    <t>Clock (Ghz)</t>
  </si>
  <si>
    <t>O(N) = N/2</t>
  </si>
  <si>
    <t>D</t>
  </si>
  <si>
    <t>Quântico</t>
  </si>
  <si>
    <r>
      <t>O(N) = N</t>
    </r>
    <r>
      <rPr>
        <vertAlign val="superscript"/>
        <sz val="11"/>
        <color theme="1"/>
        <rFont val="Calibri"/>
        <family val="2"/>
        <scheme val="minor"/>
      </rPr>
      <t>0,5</t>
    </r>
  </si>
  <si>
    <t>Clock (Mhz)</t>
  </si>
  <si>
    <t>$ Totais</t>
  </si>
  <si>
    <t>Ncores</t>
  </si>
  <si>
    <t>$ Totais = ($/hora/3600) / ( Clock[Ops/seg] * Ncores ) * O(N)</t>
  </si>
  <si>
    <t>$ Totais = ($/seg)             * ( seg/Ops )                            * Ops</t>
  </si>
  <si>
    <t>$Quant/$Class</t>
  </si>
  <si>
    <t>N Econômico</t>
  </si>
  <si>
    <t>Qubits Econômicos</t>
  </si>
  <si>
    <t>Qubits Disponíveis</t>
  </si>
  <si>
    <t>Qubits Econ.Viável</t>
  </si>
  <si>
    <t>Base (bytes)</t>
  </si>
  <si>
    <t>GHz</t>
  </si>
  <si>
    <t>Estável até 2035</t>
  </si>
  <si>
    <t>$/tempo</t>
  </si>
  <si>
    <t>/hora</t>
  </si>
  <si>
    <t>MHz</t>
  </si>
  <si>
    <t>/seg</t>
  </si>
  <si>
    <t>Qubits Econôm.Viável</t>
  </si>
  <si>
    <t>(2025)</t>
  </si>
  <si>
    <t>Tx.Cresc.</t>
  </si>
  <si>
    <t>Nqubits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</si>
  <si>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 xml:space="preserve"> anual cumulativo</t>
    </r>
  </si>
  <si>
    <t>Qubits Econ.Viáveis</t>
  </si>
  <si>
    <t>Hz</t>
  </si>
  <si>
    <t>Fator Fixo</t>
  </si>
  <si>
    <t>No.Qubits Fixo</t>
  </si>
  <si>
    <t>Clássico (Estável até 2035)</t>
  </si>
  <si>
    <t>($/seg)[q/c].(clock)[c/q].ncores</t>
  </si>
  <si>
    <t>Fator de Tecnologia e Eficiência (Fixo)</t>
  </si>
  <si>
    <r>
      <t>(N</t>
    </r>
    <r>
      <rPr>
        <vertAlign val="superscript"/>
        <sz val="11"/>
        <color theme="1"/>
        <rFont val="Calibri"/>
        <family val="2"/>
        <scheme val="minor"/>
      </rPr>
      <t>0,5</t>
    </r>
    <r>
      <rPr>
        <sz val="11"/>
        <color theme="1"/>
        <rFont val="Calibri"/>
        <family val="2"/>
        <scheme val="minor"/>
      </rPr>
      <t>).(N</t>
    </r>
    <r>
      <rPr>
        <vertAlign val="superscript"/>
        <sz val="11"/>
        <color theme="1"/>
        <rFont val="Calibri"/>
        <family val="2"/>
        <scheme val="minor"/>
      </rPr>
      <t>0,5</t>
    </r>
    <r>
      <rPr>
        <sz val="11"/>
        <color theme="1"/>
        <rFont val="Calibri"/>
        <family val="2"/>
        <scheme val="minor"/>
      </rPr>
      <t>)/(N/2) = 2</t>
    </r>
  </si>
  <si>
    <t xml:space="preserve">  No caso do algoritmo de Grover é fixo e</t>
  </si>
  <si>
    <t xml:space="preserve">    independe do N (vide acima)</t>
  </si>
  <si>
    <r>
      <t>O(N)</t>
    </r>
    <r>
      <rPr>
        <vertAlign val="subscript"/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 xml:space="preserve"> = N</t>
    </r>
    <r>
      <rPr>
        <vertAlign val="superscript"/>
        <sz val="11"/>
        <color theme="1"/>
        <rFont val="Calibri"/>
        <family val="2"/>
        <scheme val="minor"/>
      </rPr>
      <t>0,5</t>
    </r>
  </si>
  <si>
    <r>
      <t>O(N)</t>
    </r>
    <r>
      <rPr>
        <vertAlign val="sub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 = N/2</t>
    </r>
  </si>
  <si>
    <t>No.qubits economicamente viável =</t>
  </si>
  <si>
    <t xml:space="preserve">    log2[ Nq/Nc . Clock_c/Clock_q . Ncores . ($/seg)q / ($/seg)c . Nq ]</t>
  </si>
  <si>
    <t>Fator de Algoritmo[Nq/Nc].[Nq]</t>
  </si>
  <si>
    <r>
      <t>Fator de Algoritmo = [2</t>
    </r>
    <r>
      <rPr>
        <vertAlign val="superscript"/>
        <sz val="11"/>
        <color theme="1"/>
        <rFont val="Calibri"/>
        <family val="2"/>
        <scheme val="minor"/>
      </rPr>
      <t>(2n + 3)</t>
    </r>
    <r>
      <rPr>
        <sz val="11"/>
        <color theme="1"/>
        <rFont val="Calibri"/>
        <family val="2"/>
        <scheme val="minor"/>
      </rPr>
      <t>]</t>
    </r>
  </si>
  <si>
    <t>n é o número de qubits necessários</t>
  </si>
  <si>
    <t xml:space="preserve">   para representar um número de n digitos</t>
  </si>
  <si>
    <t xml:space="preserve">   binários ( 2024 decimais ~ 6600 binários )</t>
  </si>
  <si>
    <r>
      <t xml:space="preserve">    log2[ 2</t>
    </r>
    <r>
      <rPr>
        <vertAlign val="superscript"/>
        <sz val="11"/>
        <color theme="1"/>
        <rFont val="Calibri"/>
        <family val="2"/>
        <scheme val="minor"/>
      </rPr>
      <t>(2n + 3)</t>
    </r>
    <r>
      <rPr>
        <sz val="11"/>
        <color theme="1"/>
        <rFont val="Calibri"/>
        <family val="2"/>
        <scheme val="minor"/>
      </rPr>
      <t xml:space="preserve"> . Clock_c/Clock_q . Ncores . ($/seg)q / ($/seg)c ]</t>
    </r>
  </si>
  <si>
    <t xml:space="preserve">    = 2n + 3 + ~ 29 = 2 . 6600 + 3 + 29 ~ 13.250 qubits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</si>
  <si>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 xml:space="preserve"> exponencial</t>
    </r>
  </si>
  <si>
    <t>No.qubits fisicamente possível de implementar Shor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</si>
</sst>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E+00"/>
    <numFmt numFmtId="166" formatCode="0.0000"/>
  </numFmts>
  <fonts count="5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1"/>
      <charset val="2"/>
      <scheme val="minor"/>
    </font>
    <font>
      <vertAlign val="sub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/>
      <top style="medium">
        <color indexed="64"/>
      </top>
      <bottom/>
      <diagonal/>
    </border>
    <border>
      <left/>
      <right style="dashed">
        <color indexed="64"/>
      </right>
      <top style="medium">
        <color indexed="64"/>
      </top>
      <bottom/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4" xfId="0" applyBorder="1"/>
    <xf numFmtId="0" fontId="0" fillId="0" borderId="6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165" fontId="0" fillId="0" borderId="7" xfId="0" applyNumberFormat="1" applyBorder="1"/>
    <xf numFmtId="165" fontId="0" fillId="0" borderId="9" xfId="0" applyNumberFormat="1" applyBorder="1"/>
    <xf numFmtId="165" fontId="0" fillId="0" borderId="8" xfId="0" applyNumberFormat="1" applyBorder="1"/>
    <xf numFmtId="165" fontId="0" fillId="0" borderId="11" xfId="0" applyNumberFormat="1" applyBorder="1"/>
    <xf numFmtId="165" fontId="0" fillId="0" borderId="0" xfId="0" applyNumberFormat="1"/>
    <xf numFmtId="164" fontId="0" fillId="0" borderId="8" xfId="0" applyNumberFormat="1" applyBorder="1"/>
    <xf numFmtId="165" fontId="0" fillId="0" borderId="10" xfId="0" applyNumberFormat="1" applyBorder="1"/>
    <xf numFmtId="164" fontId="0" fillId="0" borderId="11" xfId="0" applyNumberFormat="1" applyBorder="1"/>
    <xf numFmtId="1" fontId="0" fillId="0" borderId="2" xfId="0" applyNumberFormat="1" applyBorder="1"/>
    <xf numFmtId="1" fontId="0" fillId="0" borderId="3" xfId="0" applyNumberFormat="1" applyBorder="1"/>
    <xf numFmtId="0" fontId="0" fillId="2" borderId="7" xfId="0" applyFill="1" applyBorder="1"/>
    <xf numFmtId="0" fontId="0" fillId="2" borderId="0" xfId="0" applyFill="1"/>
    <xf numFmtId="0" fontId="1" fillId="0" borderId="14" xfId="0" applyFont="1" applyBorder="1" applyAlignment="1">
      <alignment horizontal="center"/>
    </xf>
    <xf numFmtId="0" fontId="0" fillId="0" borderId="15" xfId="0" applyBorder="1"/>
    <xf numFmtId="0" fontId="0" fillId="2" borderId="16" xfId="0" applyFill="1" applyBorder="1"/>
    <xf numFmtId="0" fontId="0" fillId="2" borderId="17" xfId="0" applyFill="1" applyBorder="1"/>
    <xf numFmtId="0" fontId="0" fillId="0" borderId="16" xfId="0" applyBorder="1"/>
    <xf numFmtId="0" fontId="0" fillId="0" borderId="17" xfId="0" applyBorder="1"/>
    <xf numFmtId="164" fontId="0" fillId="0" borderId="17" xfId="0" applyNumberFormat="1" applyBorder="1"/>
    <xf numFmtId="0" fontId="0" fillId="0" borderId="18" xfId="0" applyBorder="1"/>
    <xf numFmtId="0" fontId="0" fillId="0" borderId="19" xfId="0" applyBorder="1"/>
    <xf numFmtId="0" fontId="0" fillId="2" borderId="20" xfId="0" applyFill="1" applyBorder="1"/>
    <xf numFmtId="0" fontId="0" fillId="0" borderId="21" xfId="0" applyBorder="1"/>
    <xf numFmtId="0" fontId="0" fillId="2" borderId="9" xfId="0" applyFill="1" applyBorder="1"/>
    <xf numFmtId="1" fontId="0" fillId="0" borderId="17" xfId="0" applyNumberFormat="1" applyBorder="1"/>
    <xf numFmtId="1" fontId="0" fillId="0" borderId="19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164" fontId="0" fillId="0" borderId="19" xfId="0" applyNumberFormat="1" applyBorder="1"/>
    <xf numFmtId="0" fontId="0" fillId="0" borderId="0" xfId="0" applyAlignment="1">
      <alignment horizontal="right"/>
    </xf>
    <xf numFmtId="165" fontId="0" fillId="0" borderId="22" xfId="0" applyNumberFormat="1" applyBorder="1"/>
    <xf numFmtId="0" fontId="0" fillId="0" borderId="0" xfId="0" quotePrefix="1"/>
    <xf numFmtId="2" fontId="0" fillId="2" borderId="20" xfId="0" applyNumberFormat="1" applyFill="1" applyBorder="1"/>
    <xf numFmtId="0" fontId="0" fillId="0" borderId="0" xfId="0" applyFill="1" applyBorder="1" applyAlignment="1">
      <alignment horizontal="right"/>
    </xf>
    <xf numFmtId="0" fontId="0" fillId="0" borderId="17" xfId="0" applyFill="1" applyBorder="1"/>
    <xf numFmtId="0" fontId="3" fillId="0" borderId="0" xfId="0" applyFont="1"/>
    <xf numFmtId="0" fontId="0" fillId="2" borderId="0" xfId="0" applyFill="1" applyBorder="1"/>
    <xf numFmtId="1" fontId="0" fillId="0" borderId="17" xfId="0" applyNumberFormat="1" applyFill="1" applyBorder="1"/>
    <xf numFmtId="1" fontId="0" fillId="0" borderId="23" xfId="0" applyNumberFormat="1" applyBorder="1"/>
    <xf numFmtId="0" fontId="0" fillId="0" borderId="0" xfId="0" applyFill="1" applyBorder="1"/>
    <xf numFmtId="166" fontId="0" fillId="0" borderId="0" xfId="0" applyNumberFormat="1"/>
    <xf numFmtId="1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000" b="1"/>
              <a:t>Computação Quântica,</a:t>
            </a:r>
            <a:r>
              <a:rPr lang="pt-BR" sz="1000" b="1" baseline="0"/>
              <a:t> Viabilidade Prática, Shor</a:t>
            </a:r>
            <a:endParaRPr lang="pt-BR" sz="1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'Evolução Simplificada (3)'!$B$1</c:f>
              <c:strCache>
                <c:ptCount val="1"/>
                <c:pt idx="0">
                  <c:v>Qubits Disponíveis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'Evolução Simplificada (3)'!$A$2:$A$12</c:f>
              <c:numCache>
                <c:formatCode>General</c:formatCode>
                <c:ptCount val="11"/>
                <c:pt idx="0">
                  <c:v>2025</c:v>
                </c:pt>
                <c:pt idx="1">
                  <c:v>2028</c:v>
                </c:pt>
                <c:pt idx="2">
                  <c:v>2031</c:v>
                </c:pt>
                <c:pt idx="3">
                  <c:v>2034</c:v>
                </c:pt>
                <c:pt idx="4">
                  <c:v>2037</c:v>
                </c:pt>
                <c:pt idx="5">
                  <c:v>2040</c:v>
                </c:pt>
                <c:pt idx="6">
                  <c:v>2043</c:v>
                </c:pt>
                <c:pt idx="7">
                  <c:v>2046</c:v>
                </c:pt>
                <c:pt idx="8">
                  <c:v>2049</c:v>
                </c:pt>
                <c:pt idx="9">
                  <c:v>2052</c:v>
                </c:pt>
                <c:pt idx="10">
                  <c:v>2055</c:v>
                </c:pt>
              </c:numCache>
            </c:numRef>
          </c:xVal>
          <c:yVal>
            <c:numRef>
              <c:f>'Evolução Simplificada (3)'!$B$2:$B$12</c:f>
              <c:numCache>
                <c:formatCode>0</c:formatCode>
                <c:ptCount val="11"/>
                <c:pt idx="0">
                  <c:v>2</c:v>
                </c:pt>
                <c:pt idx="1">
                  <c:v>5.7153022361263268</c:v>
                </c:pt>
                <c:pt idx="2">
                  <c:v>16.332339825135293</c:v>
                </c:pt>
                <c:pt idx="3">
                  <c:v>46.672129161885422</c:v>
                </c:pt>
                <c:pt idx="4">
                  <c:v>133.37266208185019</c:v>
                </c:pt>
                <c:pt idx="5">
                  <c:v>381.13253691725998</c:v>
                </c:pt>
                <c:pt idx="6">
                  <c:v>1089.143820251858</c:v>
                </c:pt>
                <c:pt idx="7">
                  <c:v>3112.3930556743067</c:v>
                </c:pt>
                <c:pt idx="8">
                  <c:v>8894.1334953996993</c:v>
                </c:pt>
                <c:pt idx="9">
                  <c:v>25416.330527332004</c:v>
                </c:pt>
                <c:pt idx="10">
                  <c:v>72631.005348493272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82-4301-86A7-8CC3A282EB6C}"/>
            </c:ext>
          </c:extLst>
        </c:ser>
        <c:ser>
          <c:idx val="1"/>
          <c:order val="1"/>
          <c:tx>
            <c:strRef>
              <c:f>'Evolução Simplificada (3)'!$C$1</c:f>
              <c:strCache>
                <c:ptCount val="1"/>
                <c:pt idx="0">
                  <c:v>Qubits Econ.Viáveis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'Evolução Simplificada (3)'!$A$2:$A$12</c:f>
              <c:numCache>
                <c:formatCode>General</c:formatCode>
                <c:ptCount val="11"/>
                <c:pt idx="0">
                  <c:v>2025</c:v>
                </c:pt>
                <c:pt idx="1">
                  <c:v>2028</c:v>
                </c:pt>
                <c:pt idx="2">
                  <c:v>2031</c:v>
                </c:pt>
                <c:pt idx="3">
                  <c:v>2034</c:v>
                </c:pt>
                <c:pt idx="4">
                  <c:v>2037</c:v>
                </c:pt>
                <c:pt idx="5">
                  <c:v>2040</c:v>
                </c:pt>
                <c:pt idx="6">
                  <c:v>2043</c:v>
                </c:pt>
                <c:pt idx="7">
                  <c:v>2046</c:v>
                </c:pt>
                <c:pt idx="8">
                  <c:v>2049</c:v>
                </c:pt>
                <c:pt idx="9">
                  <c:v>2052</c:v>
                </c:pt>
                <c:pt idx="10">
                  <c:v>2055</c:v>
                </c:pt>
              </c:numCache>
            </c:numRef>
          </c:xVal>
          <c:yVal>
            <c:numRef>
              <c:f>'Evolução Simplificada (3)'!$C$2:$C$12</c:f>
              <c:numCache>
                <c:formatCode>0.0E+00</c:formatCode>
                <c:ptCount val="11"/>
                <c:pt idx="0">
                  <c:v>13250</c:v>
                </c:pt>
                <c:pt idx="1">
                  <c:v>13250</c:v>
                </c:pt>
                <c:pt idx="2">
                  <c:v>13250</c:v>
                </c:pt>
                <c:pt idx="3">
                  <c:v>13250</c:v>
                </c:pt>
                <c:pt idx="4">
                  <c:v>13250</c:v>
                </c:pt>
                <c:pt idx="5">
                  <c:v>13250</c:v>
                </c:pt>
                <c:pt idx="6">
                  <c:v>13250</c:v>
                </c:pt>
                <c:pt idx="7">
                  <c:v>13250</c:v>
                </c:pt>
                <c:pt idx="8">
                  <c:v>13250</c:v>
                </c:pt>
                <c:pt idx="9">
                  <c:v>13250</c:v>
                </c:pt>
                <c:pt idx="10">
                  <c:v>13250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182-4301-86A7-8CC3A282E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343680"/>
        <c:axId val="501317760"/>
      </c:scatterChart>
      <c:valAx>
        <c:axId val="50134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1317760"/>
        <c:crosses val="autoZero"/>
        <c:crossBetween val="midCat"/>
      </c:valAx>
      <c:valAx>
        <c:axId val="501317760"/>
        <c:scaling>
          <c:logBase val="2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1343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000" b="1"/>
              <a:t>Computação Quântica,</a:t>
            </a:r>
            <a:r>
              <a:rPr lang="pt-BR" sz="1000" b="1" baseline="0"/>
              <a:t> Viabilidade Econômica, DB Search</a:t>
            </a:r>
            <a:endParaRPr lang="pt-BR" sz="1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'Evolução Simplificada (2)'!$B$1</c:f>
              <c:strCache>
                <c:ptCount val="1"/>
                <c:pt idx="0">
                  <c:v>Qubits Disponíveis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'Evolução Simplificada (2)'!$A$2:$A$12</c:f>
              <c:numCache>
                <c:formatCode>General</c:formatCode>
                <c:ptCount val="1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</c:numCache>
            </c:numRef>
          </c:xVal>
          <c:yVal>
            <c:numRef>
              <c:f>'Evolução Simplificada (2)'!$B$2:$B$12</c:f>
              <c:numCache>
                <c:formatCode>0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8</c:v>
                </c:pt>
                <c:pt idx="4">
                  <c:v>12</c:v>
                </c:pt>
                <c:pt idx="5">
                  <c:v>17</c:v>
                </c:pt>
                <c:pt idx="6">
                  <c:v>23</c:v>
                </c:pt>
                <c:pt idx="7">
                  <c:v>30</c:v>
                </c:pt>
                <c:pt idx="8">
                  <c:v>38</c:v>
                </c:pt>
                <c:pt idx="9">
                  <c:v>47</c:v>
                </c:pt>
                <c:pt idx="10">
                  <c:v>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76-4FB8-BA9E-841D339F6AF7}"/>
            </c:ext>
          </c:extLst>
        </c:ser>
        <c:ser>
          <c:idx val="1"/>
          <c:order val="1"/>
          <c:tx>
            <c:strRef>
              <c:f>'Evolução Simplificada (2)'!$F$1</c:f>
              <c:strCache>
                <c:ptCount val="1"/>
                <c:pt idx="0">
                  <c:v>Qubits Econ.Viáveis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'Evolução Simplificada (2)'!$A$2:$A$12</c:f>
              <c:numCache>
                <c:formatCode>General</c:formatCode>
                <c:ptCount val="1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</c:numCache>
            </c:numRef>
          </c:xVal>
          <c:yVal>
            <c:numRef>
              <c:f>'Evolução Simplificada (2)'!$F$2:$F$12</c:f>
              <c:numCache>
                <c:formatCode>0.0E+00</c:formatCode>
                <c:ptCount val="11"/>
                <c:pt idx="0">
                  <c:v>29.4281662625006</c:v>
                </c:pt>
                <c:pt idx="1">
                  <c:v>29.4281662625006</c:v>
                </c:pt>
                <c:pt idx="2">
                  <c:v>29.4281662625006</c:v>
                </c:pt>
                <c:pt idx="3">
                  <c:v>29.4281662625006</c:v>
                </c:pt>
                <c:pt idx="4">
                  <c:v>29.4281662625006</c:v>
                </c:pt>
                <c:pt idx="5">
                  <c:v>29.4281662625006</c:v>
                </c:pt>
                <c:pt idx="6">
                  <c:v>29.4281662625006</c:v>
                </c:pt>
                <c:pt idx="7">
                  <c:v>29.4281662625006</c:v>
                </c:pt>
                <c:pt idx="8">
                  <c:v>29.4281662625006</c:v>
                </c:pt>
                <c:pt idx="9">
                  <c:v>29.4281662625006</c:v>
                </c:pt>
                <c:pt idx="10">
                  <c:v>29.4281662625006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76-4FB8-BA9E-841D339F6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343680"/>
        <c:axId val="501317760"/>
      </c:scatterChart>
      <c:valAx>
        <c:axId val="50134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1317760"/>
        <c:crosses val="autoZero"/>
        <c:crossBetween val="midCat"/>
      </c:valAx>
      <c:valAx>
        <c:axId val="50131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1343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000" b="1"/>
              <a:t>Computação Quântica,</a:t>
            </a:r>
            <a:r>
              <a:rPr lang="pt-BR" sz="1000" b="1" baseline="0"/>
              <a:t> Viabilidade Econômica, DB Search</a:t>
            </a:r>
            <a:endParaRPr lang="pt-BR" sz="1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'Evolução Simplificada'!$B$2</c:f>
              <c:strCache>
                <c:ptCount val="1"/>
                <c:pt idx="0">
                  <c:v>Qubits Disponíveis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'Evolução Simplificada'!$A$3:$A$13</c:f>
              <c:numCache>
                <c:formatCode>General</c:formatCode>
                <c:ptCount val="1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</c:numCache>
            </c:numRef>
          </c:xVal>
          <c:yVal>
            <c:numRef>
              <c:f>'Evolução Simplificada'!$B$3:$B$13</c:f>
              <c:numCache>
                <c:formatCode>0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8</c:v>
                </c:pt>
                <c:pt idx="4">
                  <c:v>12</c:v>
                </c:pt>
                <c:pt idx="5">
                  <c:v>17</c:v>
                </c:pt>
                <c:pt idx="6">
                  <c:v>23</c:v>
                </c:pt>
                <c:pt idx="7">
                  <c:v>30</c:v>
                </c:pt>
                <c:pt idx="8">
                  <c:v>38</c:v>
                </c:pt>
                <c:pt idx="9">
                  <c:v>47</c:v>
                </c:pt>
                <c:pt idx="10">
                  <c:v>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E0-4CD1-B077-F8D040C2F206}"/>
            </c:ext>
          </c:extLst>
        </c:ser>
        <c:ser>
          <c:idx val="1"/>
          <c:order val="1"/>
          <c:tx>
            <c:strRef>
              <c:f>'Evolução Simplificada'!$K$2</c:f>
              <c:strCache>
                <c:ptCount val="1"/>
                <c:pt idx="0">
                  <c:v>Qubits Econôm.Viável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'Evolução Simplificada'!$A$3:$A$13</c:f>
              <c:numCache>
                <c:formatCode>General</c:formatCode>
                <c:ptCount val="1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</c:numCache>
            </c:numRef>
          </c:xVal>
          <c:yVal>
            <c:numRef>
              <c:f>'Evolução Simplificada'!$K$3:$K$13</c:f>
              <c:numCache>
                <c:formatCode>0.0</c:formatCode>
                <c:ptCount val="11"/>
                <c:pt idx="0">
                  <c:v>26.4281662625006</c:v>
                </c:pt>
                <c:pt idx="1">
                  <c:v>26.601002859362815</c:v>
                </c:pt>
                <c:pt idx="2">
                  <c:v>26.894734062419527</c:v>
                </c:pt>
                <c:pt idx="3">
                  <c:v>27.246719391163065</c:v>
                </c:pt>
                <c:pt idx="4">
                  <c:v>27.612590833638027</c:v>
                </c:pt>
                <c:pt idx="5">
                  <c:v>27.968734643863304</c:v>
                </c:pt>
                <c:pt idx="6">
                  <c:v>28.305018031727734</c:v>
                </c:pt>
                <c:pt idx="7">
                  <c:v>28.618350102926712</c:v>
                </c:pt>
                <c:pt idx="8">
                  <c:v>28.90890139434612</c:v>
                </c:pt>
                <c:pt idx="9">
                  <c:v>29.178188009492253</c:v>
                </c:pt>
                <c:pt idx="10">
                  <c:v>29.428166262500604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E0-4CD1-B077-F8D040C2F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343680"/>
        <c:axId val="501317760"/>
      </c:scatterChart>
      <c:valAx>
        <c:axId val="50134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1317760"/>
        <c:crosses val="autoZero"/>
        <c:crossBetween val="midCat"/>
      </c:valAx>
      <c:valAx>
        <c:axId val="50131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1343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Viabilidade Econômica</a:t>
            </a:r>
            <a:r>
              <a:rPr lang="pt-BR" baseline="0"/>
              <a:t> da Computação Quântica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'Evolução Detalhada'!$D$18</c:f>
              <c:strCache>
                <c:ptCount val="1"/>
                <c:pt idx="0">
                  <c:v>Qubits Disponíveis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'Evolução Detalhada'!$C$19:$C$29</c:f>
              <c:numCache>
                <c:formatCode>General</c:formatCode>
                <c:ptCount val="1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</c:numCache>
            </c:numRef>
          </c:xVal>
          <c:yVal>
            <c:numRef>
              <c:f>'Evolução Detalhada'!$D$19:$D$29</c:f>
              <c:numCache>
                <c:formatCode>General</c:formatCode>
                <c:ptCount val="11"/>
                <c:pt idx="0">
                  <c:v>3</c:v>
                </c:pt>
                <c:pt idx="1">
                  <c:v>4</c:v>
                </c:pt>
                <c:pt idx="2">
                  <c:v>6</c:v>
                </c:pt>
                <c:pt idx="3">
                  <c:v>9</c:v>
                </c:pt>
                <c:pt idx="4">
                  <c:v>13</c:v>
                </c:pt>
                <c:pt idx="5">
                  <c:v>18</c:v>
                </c:pt>
                <c:pt idx="6">
                  <c:v>24</c:v>
                </c:pt>
                <c:pt idx="7">
                  <c:v>31</c:v>
                </c:pt>
                <c:pt idx="8">
                  <c:v>39</c:v>
                </c:pt>
                <c:pt idx="9">
                  <c:v>48</c:v>
                </c:pt>
                <c:pt idx="10">
                  <c:v>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5C-440D-97B2-2F362BFAF6CF}"/>
            </c:ext>
          </c:extLst>
        </c:ser>
        <c:ser>
          <c:idx val="1"/>
          <c:order val="1"/>
          <c:tx>
            <c:strRef>
              <c:f>'Evolução Detalhada'!$E$18</c:f>
              <c:strCache>
                <c:ptCount val="1"/>
                <c:pt idx="0">
                  <c:v>Qubits Econ.Viável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'Evolução Detalhada'!$C$19:$C$29</c:f>
              <c:numCache>
                <c:formatCode>General</c:formatCode>
                <c:ptCount val="1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</c:numCache>
            </c:numRef>
          </c:xVal>
          <c:yVal>
            <c:numRef>
              <c:f>'Evolução Detalhada'!$E$19:$E$29</c:f>
              <c:numCache>
                <c:formatCode>0</c:formatCode>
                <c:ptCount val="11"/>
                <c:pt idx="0">
                  <c:v>26.4281662625006</c:v>
                </c:pt>
                <c:pt idx="1">
                  <c:v>26.601002859362815</c:v>
                </c:pt>
                <c:pt idx="2">
                  <c:v>26.894734062419527</c:v>
                </c:pt>
                <c:pt idx="3">
                  <c:v>27.246719391163065</c:v>
                </c:pt>
                <c:pt idx="4">
                  <c:v>27.612590833638027</c:v>
                </c:pt>
                <c:pt idx="5">
                  <c:v>27.968734643863304</c:v>
                </c:pt>
                <c:pt idx="6">
                  <c:v>28.305018031727734</c:v>
                </c:pt>
                <c:pt idx="7">
                  <c:v>28.618350102926712</c:v>
                </c:pt>
                <c:pt idx="8">
                  <c:v>28.90890139434612</c:v>
                </c:pt>
                <c:pt idx="9">
                  <c:v>29.178188009492253</c:v>
                </c:pt>
                <c:pt idx="10">
                  <c:v>29.428166262500604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05C-440D-97B2-2F362BFAF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9320656"/>
        <c:axId val="1109327728"/>
      </c:scatterChart>
      <c:valAx>
        <c:axId val="1109320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09327728"/>
        <c:crosses val="autoZero"/>
        <c:crossBetween val="midCat"/>
      </c:valAx>
      <c:valAx>
        <c:axId val="110932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09320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118905</xdr:colOff>
      <xdr:row>13</xdr:row>
      <xdr:rowOff>10885</xdr:rowOff>
    </xdr:from>
    <xdr:to>
      <xdr:col>7</xdr:col>
      <xdr:colOff>7955</xdr:colOff>
      <xdr:row>26</xdr:row>
      <xdr:rowOff>136072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165B712-68CF-48EC-B721-638BD43208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118905</xdr:colOff>
      <xdr:row>13</xdr:row>
      <xdr:rowOff>10885</xdr:rowOff>
    </xdr:from>
    <xdr:to>
      <xdr:col>7</xdr:col>
      <xdr:colOff>7955</xdr:colOff>
      <xdr:row>26</xdr:row>
      <xdr:rowOff>136072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98AAB5D-DB3D-44B3-B2DA-156041B0C8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54428</xdr:colOff>
      <xdr:row>17</xdr:row>
      <xdr:rowOff>10885</xdr:rowOff>
    </xdr:from>
    <xdr:to>
      <xdr:col>6</xdr:col>
      <xdr:colOff>658586</xdr:colOff>
      <xdr:row>30</xdr:row>
      <xdr:rowOff>136072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46999A0-5D84-1F18-1730-A38A9E9937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</xdr:colOff>
      <xdr:row>17</xdr:row>
      <xdr:rowOff>7144</xdr:rowOff>
    </xdr:from>
    <xdr:to>
      <xdr:col>15</xdr:col>
      <xdr:colOff>490537</xdr:colOff>
      <xdr:row>31</xdr:row>
      <xdr:rowOff>73819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4D8F563-2764-48B1-B655-8533BCA9D5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C2475-6BF5-439E-BBBA-DEB0B0C62BF2}">
  <dimension ref="A1:O15"/>
  <sheetViews>
    <sheetView tabSelected="1" zoomScale="130" zoomScaleNormal="130" workbookViewId="0">
      <selection activeCell="K21" sqref="K21"/>
    </sheetView>
  </sheetViews>
  <sheetFormatPr defaultRowHeight="14.4"/>
  <cols>
    <col min="2" max="2" width="10" bestFit="1" customWidth="1"/>
    <col min="3" max="3" width="9.44140625" customWidth="1"/>
    <col min="4" max="4" width="10" customWidth="1"/>
    <col min="6" max="6" width="9.33203125" customWidth="1"/>
    <col min="7" max="7" width="10.44140625" bestFit="1" customWidth="1"/>
    <col min="10" max="11" width="9" customWidth="1"/>
    <col min="17" max="17" width="9.77734375" bestFit="1" customWidth="1"/>
    <col min="18" max="18" width="9.6640625" bestFit="1" customWidth="1"/>
  </cols>
  <sheetData>
    <row r="1" spans="1:15">
      <c r="A1" s="1" t="s">
        <v>0</v>
      </c>
      <c r="B1" s="26" t="s">
        <v>20</v>
      </c>
      <c r="C1" s="54" t="s">
        <v>34</v>
      </c>
      <c r="D1" s="54"/>
      <c r="E1" s="54"/>
      <c r="H1" s="44"/>
      <c r="I1" t="s">
        <v>38</v>
      </c>
    </row>
    <row r="2" spans="1:15">
      <c r="A2" s="2">
        <v>2025</v>
      </c>
      <c r="B2" s="52">
        <f>I8</f>
        <v>2</v>
      </c>
      <c r="C2" s="17">
        <v>13250</v>
      </c>
      <c r="D2" s="17"/>
      <c r="E2" s="17"/>
      <c r="H2" s="44" t="s">
        <v>3</v>
      </c>
      <c r="I2" s="24">
        <v>2.6</v>
      </c>
      <c r="J2" t="s">
        <v>23</v>
      </c>
      <c r="K2" s="56">
        <f>I2*1000000000</f>
        <v>2600000000</v>
      </c>
      <c r="L2" t="s">
        <v>35</v>
      </c>
      <c r="M2" t="s">
        <v>36</v>
      </c>
      <c r="O2" t="s">
        <v>37</v>
      </c>
    </row>
    <row r="3" spans="1:15">
      <c r="A3" s="2">
        <f>A2+3</f>
        <v>2028</v>
      </c>
      <c r="B3" s="37">
        <f>$B$2*EXP($I$11*(A3-$A$2))</f>
        <v>5.7153022361263268</v>
      </c>
      <c r="C3" s="17">
        <v>13250</v>
      </c>
      <c r="D3" s="17"/>
      <c r="E3" s="17"/>
      <c r="H3" s="44" t="s">
        <v>25</v>
      </c>
      <c r="I3" s="24">
        <v>5.44</v>
      </c>
      <c r="J3" s="46" t="s">
        <v>26</v>
      </c>
      <c r="K3" s="55">
        <f>I3/3600</f>
        <v>1.5111111111111113E-3</v>
      </c>
      <c r="L3" s="46" t="s">
        <v>28</v>
      </c>
      <c r="M3" s="56">
        <f>K9/K3*K2/K8*I4</f>
        <v>361185882.35294104</v>
      </c>
      <c r="O3" s="57">
        <f>LOG(M3,2)</f>
        <v>28.4281662625006</v>
      </c>
    </row>
    <row r="4" spans="1:15" ht="15" thickBot="1">
      <c r="A4" s="2">
        <f t="shared" ref="A4:A12" si="0">A3+3</f>
        <v>2031</v>
      </c>
      <c r="B4" s="37">
        <f t="shared" ref="B4:B12" si="1">$B$2*EXP($I$11*(A4-$A$2))</f>
        <v>16.332339825135293</v>
      </c>
      <c r="C4" s="17">
        <v>13250</v>
      </c>
      <c r="D4" s="17"/>
      <c r="E4" s="17"/>
      <c r="H4" s="48" t="s">
        <v>14</v>
      </c>
      <c r="I4" s="24">
        <v>256</v>
      </c>
      <c r="J4" s="46"/>
    </row>
    <row r="5" spans="1:15" ht="15" thickBot="1">
      <c r="A5" s="2">
        <f t="shared" si="0"/>
        <v>2034</v>
      </c>
      <c r="B5" s="37">
        <f t="shared" si="1"/>
        <v>46.672129161885422</v>
      </c>
      <c r="C5" s="17">
        <v>13250</v>
      </c>
      <c r="D5" s="17"/>
      <c r="E5" s="17"/>
      <c r="H5" s="48" t="s">
        <v>31</v>
      </c>
      <c r="I5" s="47">
        <v>0</v>
      </c>
      <c r="J5" s="50" t="s">
        <v>33</v>
      </c>
      <c r="M5" t="s">
        <v>40</v>
      </c>
    </row>
    <row r="6" spans="1:15">
      <c r="A6" s="2">
        <f t="shared" si="0"/>
        <v>2037</v>
      </c>
      <c r="B6" s="37">
        <f t="shared" si="1"/>
        <v>133.37266208185019</v>
      </c>
      <c r="C6" s="17">
        <v>13250</v>
      </c>
      <c r="D6" s="17"/>
      <c r="E6" s="17"/>
      <c r="M6" s="46" t="s">
        <v>39</v>
      </c>
    </row>
    <row r="7" spans="1:15">
      <c r="A7" s="2">
        <f t="shared" si="0"/>
        <v>2040</v>
      </c>
      <c r="B7" s="37">
        <f t="shared" si="1"/>
        <v>381.13253691725998</v>
      </c>
      <c r="C7" s="17">
        <v>13250</v>
      </c>
      <c r="D7" s="17"/>
      <c r="E7" s="17"/>
      <c r="H7" s="44"/>
      <c r="I7" t="s">
        <v>10</v>
      </c>
    </row>
    <row r="8" spans="1:15" ht="16.2">
      <c r="A8" s="2">
        <f t="shared" si="0"/>
        <v>2043</v>
      </c>
      <c r="B8" s="37">
        <f t="shared" si="1"/>
        <v>1089.143820251858</v>
      </c>
      <c r="C8" s="17">
        <v>13250</v>
      </c>
      <c r="D8" s="17"/>
      <c r="E8" s="17"/>
      <c r="H8" s="44" t="s">
        <v>3</v>
      </c>
      <c r="I8" s="24">
        <v>2</v>
      </c>
      <c r="J8" t="s">
        <v>27</v>
      </c>
      <c r="K8" s="56">
        <f>I8*1000000</f>
        <v>2000000</v>
      </c>
      <c r="L8" t="s">
        <v>35</v>
      </c>
      <c r="M8" t="s">
        <v>49</v>
      </c>
    </row>
    <row r="9" spans="1:15">
      <c r="A9" s="2">
        <f t="shared" si="0"/>
        <v>2046</v>
      </c>
      <c r="B9" s="37">
        <f t="shared" si="1"/>
        <v>3112.3930556743067</v>
      </c>
      <c r="C9" s="17">
        <v>13250</v>
      </c>
      <c r="D9" s="17"/>
      <c r="E9" s="17"/>
      <c r="H9" s="44" t="s">
        <v>25</v>
      </c>
      <c r="I9" s="24">
        <v>1.64</v>
      </c>
      <c r="J9" s="46" t="s">
        <v>28</v>
      </c>
      <c r="K9">
        <f>I9</f>
        <v>1.64</v>
      </c>
      <c r="L9" s="46" t="s">
        <v>28</v>
      </c>
      <c r="M9" s="46" t="s">
        <v>50</v>
      </c>
    </row>
    <row r="10" spans="1:15">
      <c r="A10" s="2">
        <f t="shared" si="0"/>
        <v>2049</v>
      </c>
      <c r="B10" s="37">
        <f t="shared" si="1"/>
        <v>8894.1334953996993</v>
      </c>
      <c r="C10" s="17">
        <v>13250</v>
      </c>
      <c r="D10" s="17"/>
      <c r="E10" s="17"/>
      <c r="H10" s="48" t="s">
        <v>32</v>
      </c>
      <c r="I10" s="24">
        <v>2</v>
      </c>
      <c r="J10" s="46" t="s">
        <v>30</v>
      </c>
      <c r="M10" t="s">
        <v>51</v>
      </c>
    </row>
    <row r="11" spans="1:15">
      <c r="A11" s="2">
        <f t="shared" si="0"/>
        <v>2052</v>
      </c>
      <c r="B11" s="37">
        <f t="shared" si="1"/>
        <v>25416.330527332004</v>
      </c>
      <c r="C11" s="17">
        <v>13250</v>
      </c>
      <c r="D11" s="17"/>
      <c r="E11" s="17"/>
      <c r="H11" s="48" t="s">
        <v>31</v>
      </c>
      <c r="I11" s="51">
        <v>0.35</v>
      </c>
      <c r="J11" s="50" t="s">
        <v>55</v>
      </c>
      <c r="M11" t="s">
        <v>52</v>
      </c>
    </row>
    <row r="12" spans="1:15">
      <c r="A12" s="2">
        <f t="shared" si="0"/>
        <v>2055</v>
      </c>
      <c r="B12" s="37">
        <f t="shared" si="1"/>
        <v>72631.005348493272</v>
      </c>
      <c r="C12" s="17">
        <v>13250</v>
      </c>
      <c r="D12" s="17"/>
      <c r="E12" s="17"/>
    </row>
    <row r="13" spans="1:15">
      <c r="I13" t="s">
        <v>56</v>
      </c>
    </row>
    <row r="14" spans="1:15" ht="16.2">
      <c r="I14" t="s">
        <v>53</v>
      </c>
    </row>
    <row r="15" spans="1:15">
      <c r="I15" t="s">
        <v>54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9D089-B370-4055-BA8F-72F3D97C2FD7}">
  <dimension ref="A1:O14"/>
  <sheetViews>
    <sheetView zoomScale="130" zoomScaleNormal="130" workbookViewId="0">
      <selection activeCell="M8" sqref="M8"/>
    </sheetView>
  </sheetViews>
  <sheetFormatPr defaultRowHeight="14.4"/>
  <cols>
    <col min="3" max="3" width="9.44140625" customWidth="1"/>
    <col min="4" max="4" width="10" customWidth="1"/>
    <col min="6" max="6" width="9.33203125" customWidth="1"/>
    <col min="7" max="7" width="10.44140625" bestFit="1" customWidth="1"/>
    <col min="10" max="11" width="9" customWidth="1"/>
    <col min="17" max="17" width="9.77734375" bestFit="1" customWidth="1"/>
    <col min="18" max="18" width="9.6640625" bestFit="1" customWidth="1"/>
  </cols>
  <sheetData>
    <row r="1" spans="1:15" ht="16.8">
      <c r="A1" s="1" t="s">
        <v>0</v>
      </c>
      <c r="B1" s="26" t="s">
        <v>20</v>
      </c>
      <c r="C1" s="6" t="s">
        <v>1</v>
      </c>
      <c r="D1" s="54" t="s">
        <v>45</v>
      </c>
      <c r="E1" s="54" t="s">
        <v>44</v>
      </c>
      <c r="F1" s="54" t="s">
        <v>34</v>
      </c>
      <c r="H1" s="44"/>
      <c r="I1" t="s">
        <v>38</v>
      </c>
    </row>
    <row r="2" spans="1:15">
      <c r="A2" s="2">
        <v>2025</v>
      </c>
      <c r="B2" s="52">
        <f>I8</f>
        <v>2</v>
      </c>
      <c r="C2" s="15">
        <f>2^B2</f>
        <v>4</v>
      </c>
      <c r="D2" s="17">
        <f>C2/2</f>
        <v>2</v>
      </c>
      <c r="E2" s="17">
        <f>SQRT(C2)</f>
        <v>2</v>
      </c>
      <c r="F2" s="17">
        <f>LOG((E2^2)/D2,2)+$O$3</f>
        <v>29.4281662625006</v>
      </c>
      <c r="H2" s="44" t="s">
        <v>3</v>
      </c>
      <c r="I2" s="24">
        <v>2.6</v>
      </c>
      <c r="J2" t="s">
        <v>23</v>
      </c>
      <c r="K2" s="56">
        <f>I2*1000000000</f>
        <v>2600000000</v>
      </c>
      <c r="L2" t="s">
        <v>35</v>
      </c>
      <c r="M2" t="s">
        <v>36</v>
      </c>
      <c r="O2" t="s">
        <v>37</v>
      </c>
    </row>
    <row r="3" spans="1:15">
      <c r="A3" s="2">
        <v>2026</v>
      </c>
      <c r="B3" s="37">
        <f>B2+$I$11*(A3-$A$2)</f>
        <v>3</v>
      </c>
      <c r="C3" s="15">
        <f t="shared" ref="C3:C12" si="0">2^B3</f>
        <v>8</v>
      </c>
      <c r="D3" s="17">
        <f t="shared" ref="D3:D12" si="1">C3/2</f>
        <v>4</v>
      </c>
      <c r="E3" s="17">
        <f t="shared" ref="E3:E12" si="2">SQRT(C3)</f>
        <v>2.8284271247461903</v>
      </c>
      <c r="F3" s="17">
        <f>LOG(E3^2/D3,2)+$O$3</f>
        <v>29.4281662625006</v>
      </c>
      <c r="H3" s="44" t="s">
        <v>25</v>
      </c>
      <c r="I3" s="24">
        <v>5.44</v>
      </c>
      <c r="J3" s="46" t="s">
        <v>26</v>
      </c>
      <c r="K3" s="55">
        <f>I3/3600</f>
        <v>1.5111111111111113E-3</v>
      </c>
      <c r="L3" s="46" t="s">
        <v>28</v>
      </c>
      <c r="M3" s="56">
        <f>K9/K3*K2/K8*I4</f>
        <v>361185882.35294104</v>
      </c>
      <c r="O3" s="57">
        <f>LOG(M3,2)</f>
        <v>28.4281662625006</v>
      </c>
    </row>
    <row r="4" spans="1:15" ht="15" thickBot="1">
      <c r="A4" s="2">
        <v>2027</v>
      </c>
      <c r="B4" s="37">
        <f>B3+$I$11*(A4-$A$2)</f>
        <v>5</v>
      </c>
      <c r="C4" s="15">
        <f t="shared" si="0"/>
        <v>32</v>
      </c>
      <c r="D4" s="17">
        <f t="shared" si="1"/>
        <v>16</v>
      </c>
      <c r="E4" s="17">
        <f t="shared" si="2"/>
        <v>5.6568542494923806</v>
      </c>
      <c r="F4" s="17">
        <f>LOG(E4^2/D4,2)+$O$3</f>
        <v>29.4281662625006</v>
      </c>
      <c r="H4" s="48" t="s">
        <v>14</v>
      </c>
      <c r="I4" s="24">
        <v>256</v>
      </c>
      <c r="J4" s="46"/>
    </row>
    <row r="5" spans="1:15" ht="15" thickBot="1">
      <c r="A5" s="2">
        <v>2028</v>
      </c>
      <c r="B5" s="37">
        <f>B4+$I$11*(A5-$A$2)</f>
        <v>8</v>
      </c>
      <c r="C5" s="15">
        <f t="shared" si="0"/>
        <v>256</v>
      </c>
      <c r="D5" s="17">
        <f t="shared" si="1"/>
        <v>128</v>
      </c>
      <c r="E5" s="17">
        <f t="shared" si="2"/>
        <v>16</v>
      </c>
      <c r="F5" s="17">
        <f>LOG(E5^2/D5,2)+$O$3</f>
        <v>29.4281662625006</v>
      </c>
      <c r="H5" s="48" t="s">
        <v>31</v>
      </c>
      <c r="I5" s="47">
        <v>0</v>
      </c>
      <c r="J5" s="50" t="s">
        <v>33</v>
      </c>
      <c r="M5" t="s">
        <v>40</v>
      </c>
    </row>
    <row r="6" spans="1:15">
      <c r="A6" s="2">
        <v>2029</v>
      </c>
      <c r="B6" s="37">
        <f>B5+$I$11*(A6-$A$2)</f>
        <v>12</v>
      </c>
      <c r="C6" s="15">
        <f t="shared" si="0"/>
        <v>4096</v>
      </c>
      <c r="D6" s="17">
        <f t="shared" si="1"/>
        <v>2048</v>
      </c>
      <c r="E6" s="17">
        <f t="shared" si="2"/>
        <v>64</v>
      </c>
      <c r="F6" s="17">
        <f>LOG(E6^2/D6,2)+$O$3</f>
        <v>29.4281662625006</v>
      </c>
      <c r="M6" s="46" t="s">
        <v>39</v>
      </c>
    </row>
    <row r="7" spans="1:15">
      <c r="A7" s="2">
        <v>2030</v>
      </c>
      <c r="B7" s="37">
        <f>B6+$I$11*(A7-$A$2)</f>
        <v>17</v>
      </c>
      <c r="C7" s="15">
        <f t="shared" si="0"/>
        <v>131072</v>
      </c>
      <c r="D7" s="17">
        <f t="shared" si="1"/>
        <v>65536</v>
      </c>
      <c r="E7" s="17">
        <f t="shared" si="2"/>
        <v>362.03867196751236</v>
      </c>
      <c r="F7" s="17">
        <f>LOG(E7^2/D7,2)+$O$3</f>
        <v>29.4281662625006</v>
      </c>
      <c r="H7" s="44"/>
      <c r="I7" t="s">
        <v>10</v>
      </c>
    </row>
    <row r="8" spans="1:15">
      <c r="A8" s="2">
        <v>2031</v>
      </c>
      <c r="B8" s="37">
        <f>B7+$I$11*(A8-$A$2)</f>
        <v>23</v>
      </c>
      <c r="C8" s="15">
        <f t="shared" si="0"/>
        <v>8388608</v>
      </c>
      <c r="D8" s="17">
        <f t="shared" si="1"/>
        <v>4194304</v>
      </c>
      <c r="E8" s="17">
        <f t="shared" si="2"/>
        <v>2896.3093757400989</v>
      </c>
      <c r="F8" s="17">
        <f>LOG(E8^2/D8,2)+$O$3</f>
        <v>29.4281662625006</v>
      </c>
      <c r="H8" s="44" t="s">
        <v>3</v>
      </c>
      <c r="I8" s="24">
        <v>2</v>
      </c>
      <c r="J8" t="s">
        <v>27</v>
      </c>
      <c r="K8" s="56">
        <f>I8*1000000</f>
        <v>2000000</v>
      </c>
      <c r="L8" t="s">
        <v>35</v>
      </c>
      <c r="M8" t="s">
        <v>48</v>
      </c>
    </row>
    <row r="9" spans="1:15" ht="16.2">
      <c r="A9" s="2">
        <v>2032</v>
      </c>
      <c r="B9" s="37">
        <f>B8+$I$11*(A9-$A$2)</f>
        <v>30</v>
      </c>
      <c r="C9" s="15">
        <f t="shared" si="0"/>
        <v>1073741824</v>
      </c>
      <c r="D9" s="17">
        <f t="shared" si="1"/>
        <v>536870912</v>
      </c>
      <c r="E9" s="17">
        <f t="shared" si="2"/>
        <v>32768</v>
      </c>
      <c r="F9" s="17">
        <f>LOG(E9^2/D9,2)+$O$3</f>
        <v>29.4281662625006</v>
      </c>
      <c r="H9" s="44" t="s">
        <v>25</v>
      </c>
      <c r="I9" s="24">
        <v>1.64</v>
      </c>
      <c r="J9" s="46" t="s">
        <v>28</v>
      </c>
      <c r="K9">
        <f>I9</f>
        <v>1.64</v>
      </c>
      <c r="L9" s="46" t="s">
        <v>28</v>
      </c>
      <c r="M9" s="46" t="s">
        <v>41</v>
      </c>
    </row>
    <row r="10" spans="1:15">
      <c r="A10" s="2">
        <v>2033</v>
      </c>
      <c r="B10" s="37">
        <f>B9+$I$11*(A10-$A$2)</f>
        <v>38</v>
      </c>
      <c r="C10" s="15">
        <f t="shared" si="0"/>
        <v>274877906944</v>
      </c>
      <c r="D10" s="17">
        <f t="shared" si="1"/>
        <v>137438953472</v>
      </c>
      <c r="E10" s="17">
        <f t="shared" si="2"/>
        <v>524288</v>
      </c>
      <c r="F10" s="17">
        <f>LOG(E10^2/D10,2)+$O$3</f>
        <v>29.4281662625006</v>
      </c>
      <c r="H10" s="48" t="s">
        <v>32</v>
      </c>
      <c r="I10" s="24">
        <v>2</v>
      </c>
      <c r="J10" s="46" t="s">
        <v>30</v>
      </c>
      <c r="M10" t="s">
        <v>42</v>
      </c>
    </row>
    <row r="11" spans="1:15">
      <c r="A11" s="2">
        <v>2034</v>
      </c>
      <c r="B11" s="37">
        <f>B10+$I$11*(A11-$A$2)</f>
        <v>47</v>
      </c>
      <c r="C11" s="15">
        <f t="shared" si="0"/>
        <v>140737488355328</v>
      </c>
      <c r="D11" s="17">
        <f t="shared" si="1"/>
        <v>70368744177664</v>
      </c>
      <c r="E11" s="17">
        <f t="shared" si="2"/>
        <v>11863283.203031445</v>
      </c>
      <c r="F11" s="17">
        <f>LOG(E11^2/D11,2)+$O$3</f>
        <v>29.4281662625006</v>
      </c>
      <c r="H11" s="48" t="s">
        <v>31</v>
      </c>
      <c r="I11" s="51">
        <v>1</v>
      </c>
      <c r="J11" s="50" t="s">
        <v>33</v>
      </c>
      <c r="M11" t="s">
        <v>43</v>
      </c>
    </row>
    <row r="12" spans="1:15" ht="15" thickBot="1">
      <c r="A12" s="3">
        <v>2035</v>
      </c>
      <c r="B12" s="53">
        <f>B11+$I$11*(A12-$A$2)</f>
        <v>57</v>
      </c>
      <c r="C12" s="16">
        <f t="shared" si="0"/>
        <v>1.4411518807585587E+17</v>
      </c>
      <c r="D12" s="17">
        <f t="shared" si="1"/>
        <v>7.2057594037927936E+16</v>
      </c>
      <c r="E12" s="17">
        <f t="shared" si="2"/>
        <v>379625062.49700624</v>
      </c>
      <c r="F12" s="17">
        <f>LOG(E12^2/D12,2)+$O$3</f>
        <v>29.4281662625006</v>
      </c>
    </row>
    <row r="13" spans="1:15">
      <c r="I13" t="s">
        <v>46</v>
      </c>
    </row>
    <row r="14" spans="1:15">
      <c r="I14" t="s">
        <v>47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1E196-1984-4FAC-9BE2-C0C29D3168A0}">
  <dimension ref="A1:M25"/>
  <sheetViews>
    <sheetView zoomScale="130" zoomScaleNormal="130" workbookViewId="0">
      <selection activeCell="M16" sqref="M16"/>
    </sheetView>
  </sheetViews>
  <sheetFormatPr defaultRowHeight="14.4"/>
  <cols>
    <col min="3" max="3" width="9.44140625" customWidth="1"/>
    <col min="4" max="4" width="10" customWidth="1"/>
    <col min="6" max="6" width="9.33203125" customWidth="1"/>
    <col min="7" max="7" width="10.44140625" bestFit="1" customWidth="1"/>
  </cols>
  <sheetData>
    <row r="1" spans="1:13" ht="15" thickBot="1">
      <c r="C1" t="s">
        <v>22</v>
      </c>
      <c r="D1" s="11" t="s">
        <v>2</v>
      </c>
      <c r="F1" s="12"/>
      <c r="G1" t="s">
        <v>10</v>
      </c>
    </row>
    <row r="2" spans="1:13" ht="16.2">
      <c r="A2" s="1" t="s">
        <v>0</v>
      </c>
      <c r="B2" s="26" t="s">
        <v>20</v>
      </c>
      <c r="C2" s="6" t="s">
        <v>1</v>
      </c>
      <c r="D2" s="9" t="s">
        <v>8</v>
      </c>
      <c r="E2" s="26" t="s">
        <v>14</v>
      </c>
      <c r="F2" s="10" t="s">
        <v>13</v>
      </c>
      <c r="G2" s="9" t="s">
        <v>11</v>
      </c>
      <c r="H2" s="10" t="s">
        <v>13</v>
      </c>
      <c r="I2" s="9" t="s">
        <v>17</v>
      </c>
      <c r="J2" s="5" t="s">
        <v>18</v>
      </c>
      <c r="K2" s="6" t="s">
        <v>29</v>
      </c>
    </row>
    <row r="3" spans="1:13">
      <c r="A3" s="2">
        <v>2025</v>
      </c>
      <c r="B3" s="52">
        <f>I24</f>
        <v>2</v>
      </c>
      <c r="C3" s="15">
        <f>2^B3</f>
        <v>4</v>
      </c>
      <c r="D3" s="13">
        <f>C3/2</f>
        <v>2</v>
      </c>
      <c r="E3" s="49">
        <f>I18</f>
        <v>32</v>
      </c>
      <c r="F3" s="15">
        <f>($I$17/3600)/($I$16*1000000000*E3)*D3</f>
        <v>3.6324786324786328E-14</v>
      </c>
      <c r="G3" s="13">
        <f>SQRT(C3)</f>
        <v>2</v>
      </c>
      <c r="H3" s="15">
        <f>G3/($I$22*1000000)*I$23</f>
        <v>1.6399999999999998E-6</v>
      </c>
      <c r="I3" s="13">
        <f>H3/F3</f>
        <v>45148235.294117637</v>
      </c>
      <c r="J3" s="17">
        <f>I3*G3</f>
        <v>90296470.588235274</v>
      </c>
      <c r="K3" s="18">
        <f>LOG(J3,2)</f>
        <v>26.4281662625006</v>
      </c>
    </row>
    <row r="4" spans="1:13">
      <c r="A4" s="2">
        <v>2026</v>
      </c>
      <c r="B4" s="37">
        <f>B3+$I$25*(A4-$A$3)</f>
        <v>3</v>
      </c>
      <c r="C4" s="15">
        <f t="shared" ref="C4:C13" si="0">2^B4</f>
        <v>8</v>
      </c>
      <c r="D4" s="13">
        <f t="shared" ref="D4:D13" si="1">C4/2</f>
        <v>4</v>
      </c>
      <c r="E4" s="37">
        <f>E3+$I$19*(A4-$A$3)</f>
        <v>36.072727272727278</v>
      </c>
      <c r="F4" s="15">
        <f>($I$17/3600)/($I$16*1000000000*E4)*D4</f>
        <v>6.4447201543975734E-14</v>
      </c>
      <c r="G4" s="13">
        <f>SQRT(C4)</f>
        <v>2.8284271247461903</v>
      </c>
      <c r="H4" s="15">
        <f>G4/($I$22*1000000)*I$23</f>
        <v>2.3193102422918758E-6</v>
      </c>
      <c r="I4" s="13">
        <f>H4/F4</f>
        <v>35987757.214086138</v>
      </c>
      <c r="J4" s="17">
        <f>I4*G4</f>
        <v>101788748.66310163</v>
      </c>
      <c r="K4" s="18">
        <f t="shared" ref="K4:K13" si="2">LOG(J4,2)</f>
        <v>26.601002859362815</v>
      </c>
    </row>
    <row r="5" spans="1:13">
      <c r="A5" s="2">
        <v>2027</v>
      </c>
      <c r="B5" s="37">
        <f>B4+$I$25*(A5-$A$3)</f>
        <v>5</v>
      </c>
      <c r="C5" s="15">
        <f t="shared" si="0"/>
        <v>32</v>
      </c>
      <c r="D5" s="13">
        <f t="shared" si="1"/>
        <v>16</v>
      </c>
      <c r="E5" s="37">
        <f>E4+$I$19*(A5-$A$3)</f>
        <v>44.218181818181826</v>
      </c>
      <c r="F5" s="15">
        <f>($I$17/3600)/($I$16*1000000000*E5)*D5</f>
        <v>2.1030139451192081E-13</v>
      </c>
      <c r="G5" s="13">
        <f>SQRT(C5)</f>
        <v>5.6568542494923806</v>
      </c>
      <c r="H5" s="15">
        <f>G5/($I$22*1000000)*I$23</f>
        <v>4.6386204845837515E-6</v>
      </c>
      <c r="I5" s="13">
        <f>H5/F5</f>
        <v>22057012.486052793</v>
      </c>
      <c r="J5" s="17">
        <f>I5*G5</f>
        <v>124773304.81283423</v>
      </c>
      <c r="K5" s="18">
        <f t="shared" si="2"/>
        <v>26.894734062419527</v>
      </c>
    </row>
    <row r="6" spans="1:13">
      <c r="A6" s="2">
        <v>2028</v>
      </c>
      <c r="B6" s="37">
        <f>B5+$I$25*(A6-$A$3)</f>
        <v>8</v>
      </c>
      <c r="C6" s="15">
        <f t="shared" si="0"/>
        <v>256</v>
      </c>
      <c r="D6" s="13">
        <f t="shared" si="1"/>
        <v>128</v>
      </c>
      <c r="E6" s="37">
        <f>E5+$I$19*(A6-$A$3)</f>
        <v>56.436363636363652</v>
      </c>
      <c r="F6" s="15">
        <f>($I$17/3600)/($I$16*1000000000*E6)*D6</f>
        <v>1.3181778130231737E-12</v>
      </c>
      <c r="G6" s="13">
        <f>SQRT(C6)</f>
        <v>16</v>
      </c>
      <c r="H6" s="15">
        <f>G6/($I$22*1000000)*I$23</f>
        <v>1.3119999999999998E-5</v>
      </c>
      <c r="I6" s="13">
        <f>H6/F6</f>
        <v>9953133.6898395717</v>
      </c>
      <c r="J6" s="17">
        <f>I6*G6</f>
        <v>159250139.03743315</v>
      </c>
      <c r="K6" s="18">
        <f t="shared" si="2"/>
        <v>27.246719391163065</v>
      </c>
    </row>
    <row r="7" spans="1:13">
      <c r="A7" s="2">
        <v>2029</v>
      </c>
      <c r="B7" s="37">
        <f>B6+$I$25*(A7-$A$3)</f>
        <v>12</v>
      </c>
      <c r="C7" s="15">
        <f t="shared" si="0"/>
        <v>4096</v>
      </c>
      <c r="D7" s="13">
        <f t="shared" si="1"/>
        <v>2048</v>
      </c>
      <c r="E7" s="37">
        <f>E6+$I$19*(A7-$A$3)</f>
        <v>72.727272727272748</v>
      </c>
      <c r="F7" s="15">
        <f>($I$17/3600)/($I$16*1000000000*E7)*D7</f>
        <v>1.6366495726495723E-11</v>
      </c>
      <c r="G7" s="13">
        <f>SQRT(C7)</f>
        <v>64</v>
      </c>
      <c r="H7" s="15">
        <f>G7/($I$22*1000000)*I$23</f>
        <v>5.2479999999999992E-5</v>
      </c>
      <c r="I7" s="13">
        <f>H7/F7</f>
        <v>3206550.8021390378</v>
      </c>
      <c r="J7" s="17">
        <f>I7*G7</f>
        <v>205219251.33689842</v>
      </c>
      <c r="K7" s="18">
        <f t="shared" si="2"/>
        <v>27.612590833638027</v>
      </c>
    </row>
    <row r="8" spans="1:13">
      <c r="A8" s="2">
        <v>2030</v>
      </c>
      <c r="B8" s="37">
        <f>B7+$I$25*(A8-$A$3)</f>
        <v>17</v>
      </c>
      <c r="C8" s="15">
        <f t="shared" si="0"/>
        <v>131072</v>
      </c>
      <c r="D8" s="13">
        <f t="shared" si="1"/>
        <v>65536</v>
      </c>
      <c r="E8" s="37">
        <f>E7+$I$19*(A8-$A$3)</f>
        <v>93.090909090909122</v>
      </c>
      <c r="F8" s="15">
        <f>($I$17/3600)/($I$16*1000000000*E8)*D8</f>
        <v>4.0916239316239307E-10</v>
      </c>
      <c r="G8" s="13">
        <f>SQRT(C8)</f>
        <v>362.03867196751236</v>
      </c>
      <c r="H8" s="15">
        <f>G8/($I$22*1000000)*I$23</f>
        <v>2.968717110133601E-4</v>
      </c>
      <c r="I8" s="13">
        <f>H8/F8</f>
        <v>725559.62125173665</v>
      </c>
      <c r="J8" s="17">
        <f>I8*G8</f>
        <v>262680641.71122998</v>
      </c>
      <c r="K8" s="18">
        <f t="shared" si="2"/>
        <v>27.968734643863304</v>
      </c>
    </row>
    <row r="9" spans="1:13">
      <c r="A9" s="2">
        <v>2031</v>
      </c>
      <c r="B9" s="37">
        <f>B8+$I$25*(A9-$A$3)</f>
        <v>23</v>
      </c>
      <c r="C9" s="15">
        <f t="shared" si="0"/>
        <v>8388608</v>
      </c>
      <c r="D9" s="13">
        <f t="shared" si="1"/>
        <v>4194304</v>
      </c>
      <c r="E9" s="37">
        <f>E8+$I$19*(A9-$A$3)</f>
        <v>117.52727272727276</v>
      </c>
      <c r="F9" s="15">
        <f>($I$17/3600)/($I$16*1000000000*E9)*D9</f>
        <v>2.0741697554370819E-8</v>
      </c>
      <c r="G9" s="13">
        <f>SQRT(C9)</f>
        <v>2896.3093757400989</v>
      </c>
      <c r="H9" s="15">
        <f>G9/($I$22*1000000)*I$23</f>
        <v>2.3749736881068808E-3</v>
      </c>
      <c r="I9" s="13">
        <f>H9/F9</f>
        <v>114502.37772878968</v>
      </c>
      <c r="J9" s="17">
        <f>I9*G9</f>
        <v>331634310.16042787</v>
      </c>
      <c r="K9" s="18">
        <f t="shared" si="2"/>
        <v>28.305018031727734</v>
      </c>
    </row>
    <row r="10" spans="1:13">
      <c r="A10" s="2">
        <v>2032</v>
      </c>
      <c r="B10" s="37">
        <f>B9+$I$25*(A10-$A$3)</f>
        <v>30</v>
      </c>
      <c r="C10" s="15">
        <f t="shared" si="0"/>
        <v>1073741824</v>
      </c>
      <c r="D10" s="13">
        <f t="shared" si="1"/>
        <v>536870912</v>
      </c>
      <c r="E10" s="37">
        <f>E9+$I$19*(A10-$A$3)</f>
        <v>146.03636363636369</v>
      </c>
      <c r="F10" s="15">
        <f>($I$17/3600)/($I$16*1000000000*E10)*D10</f>
        <v>2.1366427568359039E-6</v>
      </c>
      <c r="G10" s="13">
        <f>SQRT(C10)</f>
        <v>32768</v>
      </c>
      <c r="H10" s="15">
        <f>G10/($I$22*1000000)*I$23</f>
        <v>2.6869759999999996E-2</v>
      </c>
      <c r="I10" s="13">
        <f>H10/F10</f>
        <v>12575.691427139038</v>
      </c>
      <c r="J10" s="17">
        <f>I10*G10</f>
        <v>412080256.68449199</v>
      </c>
      <c r="K10" s="18">
        <f t="shared" si="2"/>
        <v>28.618350102926712</v>
      </c>
    </row>
    <row r="11" spans="1:13">
      <c r="A11" s="2">
        <v>2033</v>
      </c>
      <c r="B11" s="37">
        <f>B10+$I$25*(A11-$A$3)</f>
        <v>38</v>
      </c>
      <c r="C11" s="15">
        <f t="shared" si="0"/>
        <v>274877906944</v>
      </c>
      <c r="D11" s="13">
        <f t="shared" si="1"/>
        <v>137438953472</v>
      </c>
      <c r="E11" s="37">
        <f>E10+$I$19*(A11-$A$3)</f>
        <v>178.61818181818188</v>
      </c>
      <c r="F11" s="15">
        <f>($I$17/3600)/($I$16*1000000000*E11)*D11</f>
        <v>4.4720559277930887E-4</v>
      </c>
      <c r="G11" s="13">
        <f>SQRT(C11)</f>
        <v>524288</v>
      </c>
      <c r="H11" s="15">
        <f>G11/($I$22*1000000)*I$23</f>
        <v>0.42991615999999994</v>
      </c>
      <c r="I11" s="13">
        <f>H11/F11</f>
        <v>961.33896118816858</v>
      </c>
      <c r="J11" s="17">
        <f>I11*G11</f>
        <v>504018481.28342253</v>
      </c>
      <c r="K11" s="18">
        <f t="shared" si="2"/>
        <v>28.90890139434612</v>
      </c>
    </row>
    <row r="12" spans="1:13">
      <c r="A12" s="2">
        <v>2034</v>
      </c>
      <c r="B12" s="37">
        <f>B11+$I$25*(A12-$A$3)</f>
        <v>47</v>
      </c>
      <c r="C12" s="15">
        <f t="shared" si="0"/>
        <v>140737488355328</v>
      </c>
      <c r="D12" s="13">
        <f t="shared" si="1"/>
        <v>70368744177664</v>
      </c>
      <c r="E12" s="37">
        <f>E11+$I$19*(A12-$A$3)</f>
        <v>215.27272727272737</v>
      </c>
      <c r="F12" s="15">
        <f>($I$17/3600)/($I$16*1000000000*E12)*D12</f>
        <v>0.18998260512276455</v>
      </c>
      <c r="G12" s="13">
        <f>SQRT(C12)</f>
        <v>11863283.203031445</v>
      </c>
      <c r="H12" s="15">
        <f>G12/($I$22*1000000)*I$23</f>
        <v>9.7278922264857837</v>
      </c>
      <c r="I12" s="13">
        <f>H12/F12</f>
        <v>51.20412060988285</v>
      </c>
      <c r="J12" s="17">
        <f>I12*G12</f>
        <v>607448983.95721948</v>
      </c>
      <c r="K12" s="18">
        <f t="shared" si="2"/>
        <v>29.178188009492253</v>
      </c>
    </row>
    <row r="13" spans="1:13" ht="15" thickBot="1">
      <c r="A13" s="3">
        <v>2035</v>
      </c>
      <c r="B13" s="53">
        <f>B12+$I$25*(A13-$A$3)</f>
        <v>57</v>
      </c>
      <c r="C13" s="16">
        <f t="shared" si="0"/>
        <v>1.4411518807585587E+17</v>
      </c>
      <c r="D13" s="14">
        <f t="shared" si="1"/>
        <v>7.2057594037927936E+16</v>
      </c>
      <c r="E13" s="38">
        <f>E12+$I$19*(A13-$A$3)</f>
        <v>256.00000000000011</v>
      </c>
      <c r="F13" s="45">
        <f>($I$17/3600)/($I$16*1000000000*E13)*D13</f>
        <v>163.59229415662054</v>
      </c>
      <c r="G13" s="14">
        <f>SQRT(C13)</f>
        <v>379625062.49700624</v>
      </c>
      <c r="H13" s="45">
        <f>G13/($I$22*1000000)*I$23</f>
        <v>311.29255124754508</v>
      </c>
      <c r="I13" s="14">
        <f>H13/F13</f>
        <v>1.902855833475376</v>
      </c>
      <c r="J13" s="19">
        <f>I13*G13</f>
        <v>722371764.70588255</v>
      </c>
      <c r="K13" s="20">
        <f t="shared" si="2"/>
        <v>29.428166262500604</v>
      </c>
    </row>
    <row r="15" spans="1:13">
      <c r="A15" t="s">
        <v>15</v>
      </c>
      <c r="H15" s="44" t="s">
        <v>24</v>
      </c>
      <c r="I15" t="s">
        <v>2</v>
      </c>
    </row>
    <row r="16" spans="1:13">
      <c r="A16" t="s">
        <v>16</v>
      </c>
      <c r="H16" s="44" t="s">
        <v>3</v>
      </c>
      <c r="I16" s="24">
        <v>2.6</v>
      </c>
      <c r="J16" t="s">
        <v>23</v>
      </c>
      <c r="M16">
        <f>LOG(I23/(I17/3600)*I16*1000000000/(I22*1000000),2)</f>
        <v>20.428166262500596</v>
      </c>
    </row>
    <row r="17" spans="8:10">
      <c r="H17" s="44" t="s">
        <v>25</v>
      </c>
      <c r="I17" s="24">
        <v>5.44</v>
      </c>
      <c r="J17" s="46" t="s">
        <v>26</v>
      </c>
    </row>
    <row r="18" spans="8:10" ht="15" thickBot="1">
      <c r="H18" s="48" t="s">
        <v>14</v>
      </c>
      <c r="I18" s="24">
        <v>32</v>
      </c>
      <c r="J18" s="46" t="s">
        <v>30</v>
      </c>
    </row>
    <row r="19" spans="8:10" ht="15" thickBot="1">
      <c r="H19" s="48" t="s">
        <v>31</v>
      </c>
      <c r="I19" s="47">
        <v>4.0727272727272741</v>
      </c>
      <c r="J19" s="50" t="s">
        <v>33</v>
      </c>
    </row>
    <row r="21" spans="8:10">
      <c r="H21" s="44" t="s">
        <v>24</v>
      </c>
      <c r="I21" t="s">
        <v>10</v>
      </c>
    </row>
    <row r="22" spans="8:10">
      <c r="H22" s="44" t="s">
        <v>3</v>
      </c>
      <c r="I22" s="24">
        <v>2</v>
      </c>
      <c r="J22" t="s">
        <v>27</v>
      </c>
    </row>
    <row r="23" spans="8:10">
      <c r="H23" s="44" t="s">
        <v>25</v>
      </c>
      <c r="I23" s="24">
        <v>1.64</v>
      </c>
      <c r="J23" s="46" t="s">
        <v>28</v>
      </c>
    </row>
    <row r="24" spans="8:10">
      <c r="H24" s="48" t="s">
        <v>32</v>
      </c>
      <c r="I24" s="24">
        <v>2</v>
      </c>
      <c r="J24" s="46" t="s">
        <v>30</v>
      </c>
    </row>
    <row r="25" spans="8:10">
      <c r="H25" s="48" t="s">
        <v>31</v>
      </c>
      <c r="I25" s="51">
        <v>1</v>
      </c>
      <c r="J25" s="50" t="s">
        <v>33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75EAF-5CC3-4A39-ADE1-20F5682D68DF}">
  <dimension ref="A1:W29"/>
  <sheetViews>
    <sheetView zoomScale="200" zoomScaleNormal="200" workbookViewId="0">
      <selection activeCell="I13" sqref="I13"/>
    </sheetView>
  </sheetViews>
  <sheetFormatPr defaultRowHeight="14.4"/>
  <cols>
    <col min="2" max="2" width="4.6640625" customWidth="1"/>
    <col min="4" max="4" width="9.44140625" customWidth="1"/>
    <col min="5" max="5" width="10" customWidth="1"/>
    <col min="6" max="6" width="5.44140625" customWidth="1"/>
    <col min="7" max="7" width="10.88671875" bestFit="1" customWidth="1"/>
    <col min="8" max="8" width="5.44140625" customWidth="1"/>
    <col min="10" max="10" width="6.109375" customWidth="1"/>
    <col min="11" max="12" width="9.33203125" customWidth="1"/>
    <col min="13" max="13" width="10.44140625" bestFit="1" customWidth="1"/>
    <col min="14" max="14" width="6.109375" customWidth="1"/>
    <col min="15" max="15" width="10.88671875" bestFit="1" customWidth="1"/>
  </cols>
  <sheetData>
    <row r="1" spans="1:23" ht="15" thickBot="1">
      <c r="B1" s="36">
        <v>1</v>
      </c>
      <c r="C1" s="33"/>
      <c r="D1" t="s">
        <v>22</v>
      </c>
      <c r="E1" s="11" t="s">
        <v>2</v>
      </c>
      <c r="F1" s="34">
        <v>0</v>
      </c>
      <c r="G1" s="35"/>
      <c r="H1" s="34">
        <v>4.0727272727272741</v>
      </c>
      <c r="I1" s="35"/>
      <c r="J1" s="34">
        <v>0</v>
      </c>
      <c r="K1" s="35"/>
      <c r="L1" s="12"/>
      <c r="M1" t="s">
        <v>10</v>
      </c>
      <c r="N1" s="27">
        <v>0</v>
      </c>
      <c r="O1" s="30"/>
      <c r="P1" s="27">
        <v>0</v>
      </c>
      <c r="Q1" s="30"/>
      <c r="R1" s="27">
        <v>0</v>
      </c>
      <c r="S1" s="30"/>
    </row>
    <row r="2" spans="1:23" ht="16.2">
      <c r="A2" s="1" t="s">
        <v>0</v>
      </c>
      <c r="B2" s="4" t="s">
        <v>9</v>
      </c>
      <c r="C2" s="26" t="s">
        <v>20</v>
      </c>
      <c r="D2" s="6" t="s">
        <v>1</v>
      </c>
      <c r="E2" s="9" t="s">
        <v>8</v>
      </c>
      <c r="F2" s="25" t="s">
        <v>9</v>
      </c>
      <c r="G2" s="26" t="s">
        <v>7</v>
      </c>
      <c r="H2" s="25" t="s">
        <v>9</v>
      </c>
      <c r="I2" s="26" t="s">
        <v>14</v>
      </c>
      <c r="J2" s="25" t="s">
        <v>9</v>
      </c>
      <c r="K2" s="26" t="s">
        <v>5</v>
      </c>
      <c r="L2" s="10" t="s">
        <v>13</v>
      </c>
      <c r="M2" s="9" t="s">
        <v>11</v>
      </c>
      <c r="N2" s="25" t="s">
        <v>9</v>
      </c>
      <c r="O2" s="26" t="s">
        <v>12</v>
      </c>
      <c r="P2" s="25" t="s">
        <v>9</v>
      </c>
      <c r="Q2" s="26" t="s">
        <v>6</v>
      </c>
      <c r="R2" s="25" t="s">
        <v>9</v>
      </c>
      <c r="S2" s="26" t="s">
        <v>4</v>
      </c>
      <c r="T2" s="10" t="s">
        <v>13</v>
      </c>
      <c r="U2" s="9" t="s">
        <v>17</v>
      </c>
      <c r="V2" s="5" t="s">
        <v>18</v>
      </c>
      <c r="W2" s="6" t="s">
        <v>19</v>
      </c>
    </row>
    <row r="3" spans="1:23">
      <c r="A3" s="2">
        <v>2025</v>
      </c>
      <c r="B3" s="23">
        <v>0</v>
      </c>
      <c r="C3" s="28">
        <v>3</v>
      </c>
      <c r="D3" s="15">
        <f>2^C3</f>
        <v>8</v>
      </c>
      <c r="E3" s="13">
        <f>D3/2</f>
        <v>4</v>
      </c>
      <c r="F3" s="27">
        <v>0</v>
      </c>
      <c r="G3" s="28">
        <v>2.6</v>
      </c>
      <c r="H3" s="27">
        <v>0</v>
      </c>
      <c r="I3" s="28">
        <v>32</v>
      </c>
      <c r="J3" s="27">
        <v>0</v>
      </c>
      <c r="K3" s="28">
        <v>5.44</v>
      </c>
      <c r="L3" s="15">
        <f>(K3/3600)/(G3*1000000000*I3)*E3</f>
        <v>7.2649572649572656E-14</v>
      </c>
      <c r="M3" s="13">
        <f>SQRT(D3)</f>
        <v>2.8284271247461903</v>
      </c>
      <c r="N3" s="27">
        <v>0</v>
      </c>
      <c r="O3" s="31">
        <v>2</v>
      </c>
      <c r="P3" s="27">
        <v>0</v>
      </c>
      <c r="Q3" s="28">
        <v>1</v>
      </c>
      <c r="R3" s="27">
        <v>0</v>
      </c>
      <c r="S3" s="28">
        <v>1.64</v>
      </c>
      <c r="T3" s="15">
        <f>M3/(O3*1000000*Q3)*S3</f>
        <v>2.3193102422918758E-6</v>
      </c>
      <c r="U3" s="13">
        <f>T3/L3</f>
        <v>31924623.335076403</v>
      </c>
      <c r="V3" s="17">
        <f>U3*M3</f>
        <v>90296470.588235289</v>
      </c>
      <c r="W3" s="18">
        <f>LOG(V3,2)</f>
        <v>26.4281662625006</v>
      </c>
    </row>
    <row r="4" spans="1:23">
      <c r="A4" s="2">
        <v>2026</v>
      </c>
      <c r="B4" s="7">
        <f>B3+$B$1</f>
        <v>1</v>
      </c>
      <c r="C4" s="30">
        <f t="shared" ref="C4:C13" si="0">C3+B4</f>
        <v>4</v>
      </c>
      <c r="D4" s="15">
        <f t="shared" ref="D4:D13" si="1">2^C4</f>
        <v>16</v>
      </c>
      <c r="E4" s="13">
        <f t="shared" ref="E4:E13" si="2">D4/2</f>
        <v>8</v>
      </c>
      <c r="F4" s="29">
        <f>F3+$F$1</f>
        <v>0</v>
      </c>
      <c r="G4" s="30">
        <f>G3+F4</f>
        <v>2.6</v>
      </c>
      <c r="H4" s="29">
        <f>H3+$H$1</f>
        <v>4.0727272727272741</v>
      </c>
      <c r="I4" s="37">
        <f>I3+H4</f>
        <v>36.072727272727278</v>
      </c>
      <c r="J4" s="39">
        <f>J3+$J$1</f>
        <v>0</v>
      </c>
      <c r="K4" s="40">
        <f>K3+J4</f>
        <v>5.44</v>
      </c>
      <c r="L4" s="15">
        <f t="shared" ref="L4:L13" si="3">(K4/3600)/(G4*1000000000*I4)*E4</f>
        <v>1.2889440308795147E-13</v>
      </c>
      <c r="M4" s="13">
        <f t="shared" ref="M4:M13" si="4">SQRT(D4)</f>
        <v>4</v>
      </c>
      <c r="N4" s="29">
        <f>N3+$N$1</f>
        <v>0</v>
      </c>
      <c r="O4" s="31">
        <f>O3+N4</f>
        <v>2</v>
      </c>
      <c r="P4" s="29">
        <f>P3+$P$1</f>
        <v>0</v>
      </c>
      <c r="Q4" s="37">
        <f>Q3+P4</f>
        <v>1</v>
      </c>
      <c r="R4" s="39">
        <f>R3+$R$1</f>
        <v>0</v>
      </c>
      <c r="S4" s="40">
        <f>S3+R4</f>
        <v>1.64</v>
      </c>
      <c r="T4" s="15">
        <f t="shared" ref="T4:T13" si="5">M4/(O4*1000000*Q4)*S4</f>
        <v>3.2799999999999995E-6</v>
      </c>
      <c r="U4" s="13">
        <f t="shared" ref="U4:U13" si="6">T4/L4</f>
        <v>25447187.1657754</v>
      </c>
      <c r="V4" s="17">
        <f t="shared" ref="V4:V13" si="7">U4*M4</f>
        <v>101788748.6631016</v>
      </c>
      <c r="W4" s="18">
        <f t="shared" ref="W4:W13" si="8">LOG(V4,2)</f>
        <v>26.601002859362815</v>
      </c>
    </row>
    <row r="5" spans="1:23">
      <c r="A5" s="2">
        <v>2027</v>
      </c>
      <c r="B5" s="7">
        <f t="shared" ref="B5:B13" si="9">B4+$B$1</f>
        <v>2</v>
      </c>
      <c r="C5" s="30">
        <f t="shared" si="0"/>
        <v>6</v>
      </c>
      <c r="D5" s="15">
        <f t="shared" si="1"/>
        <v>64</v>
      </c>
      <c r="E5" s="13">
        <f t="shared" si="2"/>
        <v>32</v>
      </c>
      <c r="F5" s="29">
        <f t="shared" ref="F5:F13" si="10">F4+$F$1</f>
        <v>0</v>
      </c>
      <c r="G5" s="30">
        <f t="shared" ref="G5:G13" si="11">G4+F5</f>
        <v>2.6</v>
      </c>
      <c r="H5" s="29">
        <f t="shared" ref="H5:H13" si="12">H4+$H$1</f>
        <v>8.1454545454545482</v>
      </c>
      <c r="I5" s="37">
        <f>I4+H5</f>
        <v>44.218181818181826</v>
      </c>
      <c r="J5" s="39">
        <f t="shared" ref="J5:J13" si="13">J4+$J$1</f>
        <v>0</v>
      </c>
      <c r="K5" s="40">
        <f t="shared" ref="K5:K13" si="14">K4+J5</f>
        <v>5.44</v>
      </c>
      <c r="L5" s="15">
        <f t="shared" si="3"/>
        <v>4.2060278902384161E-13</v>
      </c>
      <c r="M5" s="13">
        <f t="shared" si="4"/>
        <v>8</v>
      </c>
      <c r="N5" s="29">
        <f t="shared" ref="N5:N13" si="15">N4+$N$1</f>
        <v>0</v>
      </c>
      <c r="O5" s="31">
        <f t="shared" ref="O5:O13" si="16">O4+N5</f>
        <v>2</v>
      </c>
      <c r="P5" s="29">
        <f t="shared" ref="P5:P13" si="17">P4+$P$1</f>
        <v>0</v>
      </c>
      <c r="Q5" s="37">
        <f t="shared" ref="Q5:Q13" si="18">Q4+P5</f>
        <v>1</v>
      </c>
      <c r="R5" s="39">
        <f t="shared" ref="R5:R13" si="19">R4+$R$1</f>
        <v>0</v>
      </c>
      <c r="S5" s="40">
        <f t="shared" ref="S5:S13" si="20">S4+R5</f>
        <v>1.64</v>
      </c>
      <c r="T5" s="15">
        <f t="shared" si="5"/>
        <v>6.559999999999999E-6</v>
      </c>
      <c r="U5" s="13">
        <f t="shared" si="6"/>
        <v>15596663.101604277</v>
      </c>
      <c r="V5" s="17">
        <f t="shared" si="7"/>
        <v>124773304.81283422</v>
      </c>
      <c r="W5" s="18">
        <f t="shared" si="8"/>
        <v>26.894734062419527</v>
      </c>
    </row>
    <row r="6" spans="1:23">
      <c r="A6" s="2">
        <v>2028</v>
      </c>
      <c r="B6" s="7">
        <f t="shared" si="9"/>
        <v>3</v>
      </c>
      <c r="C6" s="30">
        <f t="shared" si="0"/>
        <v>9</v>
      </c>
      <c r="D6" s="15">
        <f t="shared" si="1"/>
        <v>512</v>
      </c>
      <c r="E6" s="13">
        <f t="shared" si="2"/>
        <v>256</v>
      </c>
      <c r="F6" s="29">
        <f t="shared" si="10"/>
        <v>0</v>
      </c>
      <c r="G6" s="30">
        <f t="shared" si="11"/>
        <v>2.6</v>
      </c>
      <c r="H6" s="29">
        <f t="shared" si="12"/>
        <v>12.218181818181822</v>
      </c>
      <c r="I6" s="37">
        <f>I5+H6</f>
        <v>56.436363636363652</v>
      </c>
      <c r="J6" s="39">
        <f t="shared" si="13"/>
        <v>0</v>
      </c>
      <c r="K6" s="40">
        <f t="shared" si="14"/>
        <v>5.44</v>
      </c>
      <c r="L6" s="15">
        <f t="shared" si="3"/>
        <v>2.6363556260463473E-12</v>
      </c>
      <c r="M6" s="13">
        <f t="shared" si="4"/>
        <v>22.627416997969522</v>
      </c>
      <c r="N6" s="29">
        <f t="shared" si="15"/>
        <v>0</v>
      </c>
      <c r="O6" s="31">
        <f t="shared" si="16"/>
        <v>2</v>
      </c>
      <c r="P6" s="29">
        <f t="shared" si="17"/>
        <v>0</v>
      </c>
      <c r="Q6" s="37">
        <f t="shared" si="18"/>
        <v>1</v>
      </c>
      <c r="R6" s="39">
        <f t="shared" si="19"/>
        <v>0</v>
      </c>
      <c r="S6" s="40">
        <f t="shared" si="20"/>
        <v>1.64</v>
      </c>
      <c r="T6" s="15">
        <f t="shared" si="5"/>
        <v>1.8554481938335006E-5</v>
      </c>
      <c r="U6" s="13">
        <f t="shared" si="6"/>
        <v>7037928.3261418454</v>
      </c>
      <c r="V6" s="17">
        <f t="shared" si="7"/>
        <v>159250139.03743318</v>
      </c>
      <c r="W6" s="18">
        <f t="shared" si="8"/>
        <v>27.246719391163065</v>
      </c>
    </row>
    <row r="7" spans="1:23">
      <c r="A7" s="2">
        <v>2029</v>
      </c>
      <c r="B7" s="7">
        <f t="shared" si="9"/>
        <v>4</v>
      </c>
      <c r="C7" s="30">
        <f t="shared" si="0"/>
        <v>13</v>
      </c>
      <c r="D7" s="15">
        <f t="shared" si="1"/>
        <v>8192</v>
      </c>
      <c r="E7" s="13">
        <f t="shared" si="2"/>
        <v>4096</v>
      </c>
      <c r="F7" s="29">
        <f t="shared" si="10"/>
        <v>0</v>
      </c>
      <c r="G7" s="30">
        <f t="shared" si="11"/>
        <v>2.6</v>
      </c>
      <c r="H7" s="29">
        <f t="shared" si="12"/>
        <v>16.290909090909096</v>
      </c>
      <c r="I7" s="37">
        <f t="shared" ref="I7:I13" si="21">I6+H7</f>
        <v>72.727272727272748</v>
      </c>
      <c r="J7" s="39">
        <f t="shared" si="13"/>
        <v>0</v>
      </c>
      <c r="K7" s="40">
        <f t="shared" si="14"/>
        <v>5.44</v>
      </c>
      <c r="L7" s="15">
        <f t="shared" si="3"/>
        <v>3.2732991452991446E-11</v>
      </c>
      <c r="M7" s="13">
        <f t="shared" si="4"/>
        <v>90.509667991878089</v>
      </c>
      <c r="N7" s="29">
        <f t="shared" si="15"/>
        <v>0</v>
      </c>
      <c r="O7" s="31">
        <f t="shared" si="16"/>
        <v>2</v>
      </c>
      <c r="P7" s="29">
        <f t="shared" si="17"/>
        <v>0</v>
      </c>
      <c r="Q7" s="37">
        <f t="shared" si="18"/>
        <v>1</v>
      </c>
      <c r="R7" s="39">
        <f t="shared" si="19"/>
        <v>0</v>
      </c>
      <c r="S7" s="40">
        <f t="shared" si="20"/>
        <v>1.64</v>
      </c>
      <c r="T7" s="15">
        <f t="shared" si="5"/>
        <v>7.4217927753340024E-5</v>
      </c>
      <c r="U7" s="13">
        <f t="shared" si="6"/>
        <v>2267373.8164116773</v>
      </c>
      <c r="V7" s="17">
        <f t="shared" si="7"/>
        <v>205219251.33689845</v>
      </c>
      <c r="W7" s="18">
        <f t="shared" si="8"/>
        <v>27.612590833638027</v>
      </c>
    </row>
    <row r="8" spans="1:23">
      <c r="A8" s="2">
        <v>2030</v>
      </c>
      <c r="B8" s="7">
        <f t="shared" si="9"/>
        <v>5</v>
      </c>
      <c r="C8" s="30">
        <f t="shared" si="0"/>
        <v>18</v>
      </c>
      <c r="D8" s="15">
        <f t="shared" si="1"/>
        <v>262144</v>
      </c>
      <c r="E8" s="13">
        <f t="shared" si="2"/>
        <v>131072</v>
      </c>
      <c r="F8" s="29">
        <f t="shared" si="10"/>
        <v>0</v>
      </c>
      <c r="G8" s="30">
        <f t="shared" si="11"/>
        <v>2.6</v>
      </c>
      <c r="H8" s="29">
        <f t="shared" si="12"/>
        <v>20.36363636363637</v>
      </c>
      <c r="I8" s="37">
        <f t="shared" si="21"/>
        <v>93.090909090909122</v>
      </c>
      <c r="J8" s="39">
        <f t="shared" si="13"/>
        <v>0</v>
      </c>
      <c r="K8" s="40">
        <f t="shared" si="14"/>
        <v>5.44</v>
      </c>
      <c r="L8" s="15">
        <f t="shared" si="3"/>
        <v>8.1832478632478614E-10</v>
      </c>
      <c r="M8" s="13">
        <f t="shared" si="4"/>
        <v>512</v>
      </c>
      <c r="N8" s="29">
        <f t="shared" si="15"/>
        <v>0</v>
      </c>
      <c r="O8" s="31">
        <f t="shared" si="16"/>
        <v>2</v>
      </c>
      <c r="P8" s="29">
        <f t="shared" si="17"/>
        <v>0</v>
      </c>
      <c r="Q8" s="37">
        <f t="shared" si="18"/>
        <v>1</v>
      </c>
      <c r="R8" s="39">
        <f t="shared" si="19"/>
        <v>0</v>
      </c>
      <c r="S8" s="40">
        <f t="shared" si="20"/>
        <v>1.64</v>
      </c>
      <c r="T8" s="15">
        <f t="shared" si="5"/>
        <v>4.1983999999999994E-4</v>
      </c>
      <c r="U8" s="13">
        <f t="shared" si="6"/>
        <v>513048.12834224605</v>
      </c>
      <c r="V8" s="17">
        <f t="shared" si="7"/>
        <v>262680641.71122998</v>
      </c>
      <c r="W8" s="18">
        <f t="shared" si="8"/>
        <v>27.968734643863304</v>
      </c>
    </row>
    <row r="9" spans="1:23">
      <c r="A9" s="2">
        <v>2031</v>
      </c>
      <c r="B9" s="7">
        <f t="shared" si="9"/>
        <v>6</v>
      </c>
      <c r="C9" s="30">
        <f t="shared" si="0"/>
        <v>24</v>
      </c>
      <c r="D9" s="15">
        <f t="shared" si="1"/>
        <v>16777216</v>
      </c>
      <c r="E9" s="13">
        <f t="shared" si="2"/>
        <v>8388608</v>
      </c>
      <c r="F9" s="29">
        <f t="shared" si="10"/>
        <v>0</v>
      </c>
      <c r="G9" s="30">
        <f t="shared" si="11"/>
        <v>2.6</v>
      </c>
      <c r="H9" s="29">
        <f t="shared" si="12"/>
        <v>24.436363636363645</v>
      </c>
      <c r="I9" s="37">
        <f t="shared" si="21"/>
        <v>117.52727272727276</v>
      </c>
      <c r="J9" s="39">
        <f t="shared" si="13"/>
        <v>0</v>
      </c>
      <c r="K9" s="40">
        <f t="shared" si="14"/>
        <v>5.44</v>
      </c>
      <c r="L9" s="15">
        <f t="shared" si="3"/>
        <v>4.1483395108741638E-8</v>
      </c>
      <c r="M9" s="13">
        <f t="shared" si="4"/>
        <v>4096</v>
      </c>
      <c r="N9" s="29">
        <f t="shared" si="15"/>
        <v>0</v>
      </c>
      <c r="O9" s="31">
        <f t="shared" si="16"/>
        <v>2</v>
      </c>
      <c r="P9" s="29">
        <f t="shared" si="17"/>
        <v>0</v>
      </c>
      <c r="Q9" s="37">
        <f t="shared" si="18"/>
        <v>1</v>
      </c>
      <c r="R9" s="39">
        <f t="shared" si="19"/>
        <v>0</v>
      </c>
      <c r="S9" s="40">
        <f t="shared" si="20"/>
        <v>1.64</v>
      </c>
      <c r="T9" s="15">
        <f t="shared" si="5"/>
        <v>3.3587199999999995E-3</v>
      </c>
      <c r="U9" s="13">
        <f t="shared" si="6"/>
        <v>80965.407754010695</v>
      </c>
      <c r="V9" s="17">
        <f t="shared" si="7"/>
        <v>331634310.16042781</v>
      </c>
      <c r="W9" s="18">
        <f t="shared" si="8"/>
        <v>28.305018031727734</v>
      </c>
    </row>
    <row r="10" spans="1:23">
      <c r="A10" s="2">
        <v>2032</v>
      </c>
      <c r="B10" s="7">
        <f t="shared" si="9"/>
        <v>7</v>
      </c>
      <c r="C10" s="30">
        <f t="shared" si="0"/>
        <v>31</v>
      </c>
      <c r="D10" s="15">
        <f t="shared" si="1"/>
        <v>2147483648</v>
      </c>
      <c r="E10" s="13">
        <f t="shared" si="2"/>
        <v>1073741824</v>
      </c>
      <c r="F10" s="29">
        <f t="shared" si="10"/>
        <v>0</v>
      </c>
      <c r="G10" s="30">
        <f t="shared" si="11"/>
        <v>2.6</v>
      </c>
      <c r="H10" s="29">
        <f t="shared" si="12"/>
        <v>28.509090909090919</v>
      </c>
      <c r="I10" s="37">
        <f t="shared" si="21"/>
        <v>146.03636363636369</v>
      </c>
      <c r="J10" s="39">
        <f t="shared" si="13"/>
        <v>0</v>
      </c>
      <c r="K10" s="40">
        <f t="shared" si="14"/>
        <v>5.44</v>
      </c>
      <c r="L10" s="15">
        <f t="shared" si="3"/>
        <v>4.2732855136718078E-6</v>
      </c>
      <c r="M10" s="13">
        <f t="shared" si="4"/>
        <v>46340.950011841582</v>
      </c>
      <c r="N10" s="29">
        <f t="shared" si="15"/>
        <v>0</v>
      </c>
      <c r="O10" s="31">
        <f t="shared" si="16"/>
        <v>2</v>
      </c>
      <c r="P10" s="29">
        <f t="shared" si="17"/>
        <v>0</v>
      </c>
      <c r="Q10" s="37">
        <f t="shared" si="18"/>
        <v>1</v>
      </c>
      <c r="R10" s="39">
        <f t="shared" si="19"/>
        <v>0</v>
      </c>
      <c r="S10" s="40">
        <f t="shared" si="20"/>
        <v>1.64</v>
      </c>
      <c r="T10" s="15">
        <f t="shared" si="5"/>
        <v>3.7999579009710092E-2</v>
      </c>
      <c r="U10" s="13">
        <f t="shared" si="6"/>
        <v>8892.3566862395455</v>
      </c>
      <c r="V10" s="17">
        <f t="shared" si="7"/>
        <v>412080256.68449205</v>
      </c>
      <c r="W10" s="18">
        <f t="shared" si="8"/>
        <v>28.618350102926712</v>
      </c>
    </row>
    <row r="11" spans="1:23">
      <c r="A11" s="2">
        <v>2033</v>
      </c>
      <c r="B11" s="7">
        <f t="shared" si="9"/>
        <v>8</v>
      </c>
      <c r="C11" s="30">
        <f t="shared" si="0"/>
        <v>39</v>
      </c>
      <c r="D11" s="15">
        <f t="shared" si="1"/>
        <v>549755813888</v>
      </c>
      <c r="E11" s="13">
        <f t="shared" si="2"/>
        <v>274877906944</v>
      </c>
      <c r="F11" s="29">
        <f t="shared" si="10"/>
        <v>0</v>
      </c>
      <c r="G11" s="30">
        <f t="shared" si="11"/>
        <v>2.6</v>
      </c>
      <c r="H11" s="29">
        <f t="shared" si="12"/>
        <v>32.581818181818193</v>
      </c>
      <c r="I11" s="37">
        <f t="shared" si="21"/>
        <v>178.61818181818188</v>
      </c>
      <c r="J11" s="39">
        <f t="shared" si="13"/>
        <v>0</v>
      </c>
      <c r="K11" s="40">
        <f t="shared" si="14"/>
        <v>5.44</v>
      </c>
      <c r="L11" s="15">
        <f t="shared" si="3"/>
        <v>8.9441118555861775E-4</v>
      </c>
      <c r="M11" s="13">
        <f t="shared" si="4"/>
        <v>741455.20018946531</v>
      </c>
      <c r="N11" s="29">
        <f t="shared" si="15"/>
        <v>0</v>
      </c>
      <c r="O11" s="31">
        <f t="shared" si="16"/>
        <v>2</v>
      </c>
      <c r="P11" s="29">
        <f t="shared" si="17"/>
        <v>0</v>
      </c>
      <c r="Q11" s="37">
        <f t="shared" si="18"/>
        <v>1</v>
      </c>
      <c r="R11" s="39">
        <f t="shared" si="19"/>
        <v>0</v>
      </c>
      <c r="S11" s="40">
        <f t="shared" si="20"/>
        <v>1.64</v>
      </c>
      <c r="T11" s="15">
        <f t="shared" si="5"/>
        <v>0.60799326415536148</v>
      </c>
      <c r="U11" s="13">
        <f t="shared" si="6"/>
        <v>679.76929847498525</v>
      </c>
      <c r="V11" s="17">
        <f t="shared" si="7"/>
        <v>504018481.28342259</v>
      </c>
      <c r="W11" s="18">
        <f t="shared" si="8"/>
        <v>28.90890139434612</v>
      </c>
    </row>
    <row r="12" spans="1:23">
      <c r="A12" s="2">
        <v>2034</v>
      </c>
      <c r="B12" s="7">
        <f t="shared" si="9"/>
        <v>9</v>
      </c>
      <c r="C12" s="30">
        <f t="shared" si="0"/>
        <v>48</v>
      </c>
      <c r="D12" s="15">
        <f t="shared" si="1"/>
        <v>281474976710656</v>
      </c>
      <c r="E12" s="13">
        <f t="shared" si="2"/>
        <v>140737488355328</v>
      </c>
      <c r="F12" s="29">
        <f t="shared" si="10"/>
        <v>0</v>
      </c>
      <c r="G12" s="30">
        <f t="shared" si="11"/>
        <v>2.6</v>
      </c>
      <c r="H12" s="29">
        <f t="shared" si="12"/>
        <v>36.65454545454547</v>
      </c>
      <c r="I12" s="37">
        <f t="shared" si="21"/>
        <v>215.27272727272737</v>
      </c>
      <c r="J12" s="39">
        <f t="shared" si="13"/>
        <v>0</v>
      </c>
      <c r="K12" s="40">
        <f t="shared" si="14"/>
        <v>5.44</v>
      </c>
      <c r="L12" s="15">
        <f t="shared" si="3"/>
        <v>0.37996521024552909</v>
      </c>
      <c r="M12" s="13">
        <f t="shared" si="4"/>
        <v>16777216</v>
      </c>
      <c r="N12" s="29">
        <f t="shared" si="15"/>
        <v>0</v>
      </c>
      <c r="O12" s="31">
        <f t="shared" si="16"/>
        <v>2</v>
      </c>
      <c r="P12" s="29">
        <f t="shared" si="17"/>
        <v>0</v>
      </c>
      <c r="Q12" s="37">
        <f t="shared" si="18"/>
        <v>1</v>
      </c>
      <c r="R12" s="39">
        <f t="shared" si="19"/>
        <v>0</v>
      </c>
      <c r="S12" s="40">
        <f t="shared" si="20"/>
        <v>1.64</v>
      </c>
      <c r="T12" s="15">
        <f t="shared" si="5"/>
        <v>13.757317119999998</v>
      </c>
      <c r="U12" s="13">
        <f t="shared" si="6"/>
        <v>36.206780907942019</v>
      </c>
      <c r="V12" s="17">
        <f t="shared" si="7"/>
        <v>607448983.95721936</v>
      </c>
      <c r="W12" s="18">
        <f t="shared" si="8"/>
        <v>29.178188009492253</v>
      </c>
    </row>
    <row r="13" spans="1:23" ht="15" thickBot="1">
      <c r="A13" s="3">
        <v>2035</v>
      </c>
      <c r="B13" s="8">
        <f t="shared" si="9"/>
        <v>10</v>
      </c>
      <c r="C13" s="33">
        <f t="shared" si="0"/>
        <v>58</v>
      </c>
      <c r="D13" s="16">
        <f t="shared" si="1"/>
        <v>2.8823037615171174E+17</v>
      </c>
      <c r="E13" s="14">
        <f t="shared" si="2"/>
        <v>1.4411518807585587E+17</v>
      </c>
      <c r="F13" s="32">
        <f t="shared" si="10"/>
        <v>0</v>
      </c>
      <c r="G13" s="33">
        <f t="shared" si="11"/>
        <v>2.6</v>
      </c>
      <c r="H13" s="32">
        <f t="shared" si="12"/>
        <v>40.727272727272748</v>
      </c>
      <c r="I13" s="38">
        <f t="shared" si="21"/>
        <v>256.00000000000011</v>
      </c>
      <c r="J13" s="41">
        <f t="shared" si="13"/>
        <v>0</v>
      </c>
      <c r="K13" s="42">
        <f t="shared" si="14"/>
        <v>5.44</v>
      </c>
      <c r="L13" s="16">
        <f t="shared" si="3"/>
        <v>327.18458831324108</v>
      </c>
      <c r="M13" s="14">
        <f t="shared" si="4"/>
        <v>536870912</v>
      </c>
      <c r="N13" s="32">
        <f t="shared" si="15"/>
        <v>0</v>
      </c>
      <c r="O13" s="43">
        <f t="shared" si="16"/>
        <v>2</v>
      </c>
      <c r="P13" s="32">
        <f t="shared" si="17"/>
        <v>0</v>
      </c>
      <c r="Q13" s="38">
        <f t="shared" si="18"/>
        <v>1</v>
      </c>
      <c r="R13" s="41">
        <f t="shared" si="19"/>
        <v>0</v>
      </c>
      <c r="S13" s="42">
        <f t="shared" si="20"/>
        <v>1.64</v>
      </c>
      <c r="T13" s="16">
        <f t="shared" si="5"/>
        <v>440.23414783999993</v>
      </c>
      <c r="U13" s="14">
        <f t="shared" si="6"/>
        <v>1.3455222634708182</v>
      </c>
      <c r="V13" s="19">
        <f t="shared" si="7"/>
        <v>722371764.70588243</v>
      </c>
      <c r="W13" s="20">
        <f t="shared" si="8"/>
        <v>29.428166262500604</v>
      </c>
    </row>
    <row r="15" spans="1:23">
      <c r="D15" t="s">
        <v>15</v>
      </c>
    </row>
    <row r="16" spans="1:23">
      <c r="D16" t="s">
        <v>16</v>
      </c>
    </row>
    <row r="17" spans="3:5" ht="15" thickBot="1"/>
    <row r="18" spans="3:5">
      <c r="C18" s="1" t="s">
        <v>0</v>
      </c>
      <c r="D18" s="1" t="s">
        <v>20</v>
      </c>
      <c r="E18" s="1" t="s">
        <v>21</v>
      </c>
    </row>
    <row r="19" spans="3:5">
      <c r="C19" s="2">
        <f>A3</f>
        <v>2025</v>
      </c>
      <c r="D19" s="2">
        <f>C3</f>
        <v>3</v>
      </c>
      <c r="E19" s="21">
        <f>W3</f>
        <v>26.4281662625006</v>
      </c>
    </row>
    <row r="20" spans="3:5">
      <c r="C20" s="2">
        <f t="shared" ref="C20:C29" si="22">A4</f>
        <v>2026</v>
      </c>
      <c r="D20" s="2">
        <f t="shared" ref="D20:D29" si="23">C4</f>
        <v>4</v>
      </c>
      <c r="E20" s="21">
        <f t="shared" ref="E20:E29" si="24">W4</f>
        <v>26.601002859362815</v>
      </c>
    </row>
    <row r="21" spans="3:5">
      <c r="C21" s="2">
        <f t="shared" si="22"/>
        <v>2027</v>
      </c>
      <c r="D21" s="2">
        <f t="shared" si="23"/>
        <v>6</v>
      </c>
      <c r="E21" s="21">
        <f t="shared" si="24"/>
        <v>26.894734062419527</v>
      </c>
    </row>
    <row r="22" spans="3:5">
      <c r="C22" s="2">
        <f t="shared" si="22"/>
        <v>2028</v>
      </c>
      <c r="D22" s="2">
        <f t="shared" si="23"/>
        <v>9</v>
      </c>
      <c r="E22" s="21">
        <f t="shared" si="24"/>
        <v>27.246719391163065</v>
      </c>
    </row>
    <row r="23" spans="3:5">
      <c r="C23" s="2">
        <f t="shared" si="22"/>
        <v>2029</v>
      </c>
      <c r="D23" s="2">
        <f t="shared" si="23"/>
        <v>13</v>
      </c>
      <c r="E23" s="21">
        <f t="shared" si="24"/>
        <v>27.612590833638027</v>
      </c>
    </row>
    <row r="24" spans="3:5">
      <c r="C24" s="2">
        <f t="shared" si="22"/>
        <v>2030</v>
      </c>
      <c r="D24" s="2">
        <f t="shared" si="23"/>
        <v>18</v>
      </c>
      <c r="E24" s="21">
        <f t="shared" si="24"/>
        <v>27.968734643863304</v>
      </c>
    </row>
    <row r="25" spans="3:5">
      <c r="C25" s="2">
        <f t="shared" si="22"/>
        <v>2031</v>
      </c>
      <c r="D25" s="2">
        <f t="shared" si="23"/>
        <v>24</v>
      </c>
      <c r="E25" s="21">
        <f t="shared" si="24"/>
        <v>28.305018031727734</v>
      </c>
    </row>
    <row r="26" spans="3:5">
      <c r="C26" s="2">
        <f t="shared" si="22"/>
        <v>2032</v>
      </c>
      <c r="D26" s="2">
        <f t="shared" si="23"/>
        <v>31</v>
      </c>
      <c r="E26" s="21">
        <f t="shared" si="24"/>
        <v>28.618350102926712</v>
      </c>
    </row>
    <row r="27" spans="3:5">
      <c r="C27" s="2">
        <f t="shared" si="22"/>
        <v>2033</v>
      </c>
      <c r="D27" s="2">
        <f t="shared" si="23"/>
        <v>39</v>
      </c>
      <c r="E27" s="21">
        <f t="shared" si="24"/>
        <v>28.90890139434612</v>
      </c>
    </row>
    <row r="28" spans="3:5">
      <c r="C28" s="2">
        <f t="shared" si="22"/>
        <v>2034</v>
      </c>
      <c r="D28" s="2">
        <f t="shared" si="23"/>
        <v>48</v>
      </c>
      <c r="E28" s="21">
        <f t="shared" si="24"/>
        <v>29.178188009492253</v>
      </c>
    </row>
    <row r="29" spans="3:5" ht="15" thickBot="1">
      <c r="C29" s="3">
        <f t="shared" si="22"/>
        <v>2035</v>
      </c>
      <c r="D29" s="3">
        <f t="shared" si="23"/>
        <v>58</v>
      </c>
      <c r="E29" s="22">
        <f t="shared" si="24"/>
        <v>29.428166262500604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Evolução Simplificada (3)</vt:lpstr>
      <vt:lpstr>Evolução Simplificada (2)</vt:lpstr>
      <vt:lpstr>Evolução Simplificada</vt:lpstr>
      <vt:lpstr>Evolução Detalhada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Aegv</dc:creator>
  <cp:lastModifiedBy>gustavo</cp:lastModifiedBy>
  <dcterms:created xsi:type="dcterms:W3CDTF">2025-04-11T22:22:54Z</dcterms:created>
  <dcterms:modified xsi:type="dcterms:W3CDTF">2025-04-12T06:04:03Z</dcterms:modified>
</cp:coreProperties>
</file>