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Colab Notebooks\1.rodrigo, quantum\"/>
    </mc:Choice>
  </mc:AlternateContent>
  <xr:revisionPtr revIDLastSave="0" documentId="13_ncr:1_{B9558461-3E3C-476B-9C15-FF67BD5FDD4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E1" sheetId="3" r:id="rId1"/>
    <sheet name="Matrizes" sheetId="5" r:id="rId2"/>
  </sheets>
  <definedNames>
    <definedName name="H1_">Matrizes!$B$3:$C$4</definedName>
    <definedName name="H2_">Matrizes!$B$7:$E$10</definedName>
    <definedName name="H3_">Matrizes!$B$13:$I$20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" i="3" l="1"/>
  <c r="G11" i="3"/>
  <c r="I7" i="3"/>
  <c r="L11" i="3" s="1"/>
  <c r="H7" i="3"/>
  <c r="J11" i="3" s="1"/>
  <c r="G7" i="3"/>
  <c r="H11" i="3" s="1"/>
  <c r="F7" i="3"/>
  <c r="F11" i="3" s="1"/>
  <c r="N2" i="5"/>
  <c r="L3" i="5" s="1" a="1"/>
  <c r="Q3" i="5" l="1"/>
  <c r="M3" i="5"/>
  <c r="O3" i="5"/>
  <c r="S3" i="5"/>
  <c r="M4" i="5"/>
  <c r="O4" i="5"/>
  <c r="S4" i="5"/>
  <c r="M5" i="5"/>
  <c r="O5" i="5"/>
  <c r="S5" i="5"/>
  <c r="M6" i="5"/>
  <c r="O6" i="5"/>
  <c r="S6" i="5"/>
  <c r="M7" i="5"/>
  <c r="O7" i="5"/>
  <c r="S7" i="5"/>
  <c r="M8" i="5"/>
  <c r="O8" i="5"/>
  <c r="S8" i="5"/>
  <c r="M9" i="5"/>
  <c r="O9" i="5"/>
  <c r="S9" i="5"/>
  <c r="M10" i="5"/>
  <c r="O10" i="5"/>
  <c r="S10" i="5"/>
  <c r="L3" i="5"/>
  <c r="N3" i="5"/>
  <c r="P3" i="5"/>
  <c r="L4" i="5"/>
  <c r="N4" i="5"/>
  <c r="P4" i="5"/>
  <c r="L5" i="5"/>
  <c r="N5" i="5"/>
  <c r="P5" i="5"/>
  <c r="L6" i="5"/>
  <c r="N6" i="5"/>
  <c r="P6" i="5"/>
  <c r="L7" i="5"/>
  <c r="N7" i="5"/>
  <c r="P7" i="5"/>
  <c r="L8" i="5"/>
  <c r="N8" i="5"/>
  <c r="P8" i="5"/>
  <c r="L9" i="5"/>
  <c r="N9" i="5"/>
  <c r="P9" i="5"/>
  <c r="L10" i="5"/>
  <c r="N10" i="5"/>
  <c r="P10" i="5"/>
  <c r="I11" i="3"/>
  <c r="I12" i="3" s="1"/>
  <c r="M11" i="3"/>
  <c r="R10" i="5"/>
  <c r="R9" i="5"/>
  <c r="R8" i="5"/>
  <c r="R7" i="5"/>
  <c r="R6" i="5"/>
  <c r="R5" i="5"/>
  <c r="R4" i="5"/>
  <c r="R3" i="5"/>
  <c r="Q10" i="5"/>
  <c r="Q9" i="5"/>
  <c r="Q8" i="5"/>
  <c r="Q7" i="5"/>
  <c r="Q6" i="5"/>
  <c r="Q5" i="5"/>
  <c r="Q4" i="5"/>
  <c r="B17" i="3" a="1"/>
  <c r="B17" i="3" s="1"/>
  <c r="A28" i="5" a="1"/>
  <c r="A29" i="5" s="1"/>
  <c r="D9" i="5" a="1"/>
  <c r="D9" i="5" s="1"/>
  <c r="B9" i="5" a="1"/>
  <c r="C9" i="5" s="1"/>
  <c r="D7" i="5" a="1"/>
  <c r="D8" i="5" s="1"/>
  <c r="D7" i="5"/>
  <c r="E7" i="5"/>
  <c r="B7" i="5" a="1"/>
  <c r="C7" i="5" s="1"/>
  <c r="L12" i="3" l="1"/>
  <c r="L13" i="5" a="1"/>
  <c r="G12" i="3"/>
  <c r="F12" i="3"/>
  <c r="G13" i="3" s="1"/>
  <c r="H13" i="3" s="1"/>
  <c r="M12" i="3"/>
  <c r="K12" i="3"/>
  <c r="J12" i="3"/>
  <c r="H12" i="3"/>
  <c r="C17" i="3"/>
  <c r="E8" i="5"/>
  <c r="A33" i="5"/>
  <c r="A36" i="5"/>
  <c r="A28" i="5"/>
  <c r="A43" i="5"/>
  <c r="A35" i="5"/>
  <c r="A42" i="5"/>
  <c r="A34" i="5"/>
  <c r="A41" i="5"/>
  <c r="A40" i="5"/>
  <c r="A32" i="5"/>
  <c r="A39" i="5"/>
  <c r="A31" i="5"/>
  <c r="A38" i="5"/>
  <c r="A30" i="5"/>
  <c r="A37" i="5"/>
  <c r="E10" i="5"/>
  <c r="D10" i="5"/>
  <c r="E9" i="5"/>
  <c r="B9" i="5"/>
  <c r="C10" i="5"/>
  <c r="B10" i="5"/>
  <c r="C8" i="5"/>
  <c r="B8" i="5"/>
  <c r="B7" i="5"/>
  <c r="L13" i="5" l="1"/>
  <c r="R20" i="5"/>
  <c r="R16" i="5"/>
  <c r="Q20" i="5"/>
  <c r="Q18" i="5"/>
  <c r="Q16" i="5"/>
  <c r="Q14" i="5"/>
  <c r="S20" i="5"/>
  <c r="S18" i="5"/>
  <c r="S16" i="5"/>
  <c r="S14" i="5"/>
  <c r="R19" i="5"/>
  <c r="R15" i="5"/>
  <c r="P20" i="5"/>
  <c r="P18" i="5"/>
  <c r="P16" i="5"/>
  <c r="P14" i="5"/>
  <c r="O20" i="5"/>
  <c r="O18" i="5"/>
  <c r="O16" i="5"/>
  <c r="O14" i="5"/>
  <c r="N20" i="5"/>
  <c r="N18" i="5"/>
  <c r="N16" i="5"/>
  <c r="N14" i="5"/>
  <c r="M20" i="5"/>
  <c r="M18" i="5"/>
  <c r="M16" i="5"/>
  <c r="M14" i="5"/>
  <c r="L20" i="5"/>
  <c r="L18" i="5"/>
  <c r="L16" i="5"/>
  <c r="L14" i="5"/>
  <c r="R18" i="5"/>
  <c r="R14" i="5"/>
  <c r="Q19" i="5"/>
  <c r="Q17" i="5"/>
  <c r="Q13" i="5"/>
  <c r="S19" i="5"/>
  <c r="S15" i="5"/>
  <c r="R17" i="5"/>
  <c r="P19" i="5"/>
  <c r="P15" i="5"/>
  <c r="O19" i="5"/>
  <c r="O15" i="5"/>
  <c r="N19" i="5"/>
  <c r="N15" i="5"/>
  <c r="M19" i="5"/>
  <c r="M15" i="5"/>
  <c r="L19" i="5"/>
  <c r="L15" i="5"/>
  <c r="Q15" i="5"/>
  <c r="S17" i="5"/>
  <c r="S13" i="5"/>
  <c r="R13" i="5"/>
  <c r="P17" i="5"/>
  <c r="P13" i="5"/>
  <c r="O17" i="5"/>
  <c r="O13" i="5"/>
  <c r="N17" i="5"/>
  <c r="N13" i="5"/>
  <c r="M17" i="5"/>
  <c r="M13" i="5"/>
  <c r="L17" i="5"/>
  <c r="I13" i="3"/>
  <c r="B17" i="5" a="1"/>
  <c r="F13" i="5" a="1"/>
  <c r="B13" i="5" a="1"/>
  <c r="F17" i="5" a="1"/>
  <c r="J13" i="3" l="1"/>
  <c r="K13" i="3" s="1"/>
  <c r="L13" i="3" s="1"/>
  <c r="M13" i="3" s="1"/>
  <c r="N13" i="3" s="1"/>
  <c r="P11" i="3"/>
  <c r="AC13" i="5" a="1"/>
  <c r="U13" i="5" a="1"/>
  <c r="AC21" i="5" a="1"/>
  <c r="U21" i="5" a="1"/>
  <c r="C17" i="5"/>
  <c r="C20" i="5"/>
  <c r="C19" i="5"/>
  <c r="C18" i="5"/>
  <c r="B19" i="5"/>
  <c r="B20" i="5"/>
  <c r="B17" i="5"/>
  <c r="B18" i="5"/>
  <c r="E20" i="5"/>
  <c r="E19" i="5"/>
  <c r="E18" i="5"/>
  <c r="D20" i="5"/>
  <c r="D19" i="5"/>
  <c r="D18" i="5"/>
  <c r="D17" i="5"/>
  <c r="E17" i="5"/>
  <c r="G17" i="5"/>
  <c r="F17" i="5"/>
  <c r="H18" i="5"/>
  <c r="H17" i="5"/>
  <c r="G20" i="5"/>
  <c r="G19" i="5"/>
  <c r="G18" i="5"/>
  <c r="F20" i="5"/>
  <c r="F19" i="5"/>
  <c r="F18" i="5"/>
  <c r="I20" i="5"/>
  <c r="I19" i="5"/>
  <c r="I18" i="5"/>
  <c r="I17" i="5"/>
  <c r="H20" i="5"/>
  <c r="H19" i="5"/>
  <c r="C14" i="5"/>
  <c r="B13" i="5"/>
  <c r="F17" i="3" s="1" a="1"/>
  <c r="G17" i="3" s="1"/>
  <c r="D13" i="5"/>
  <c r="E13" i="5"/>
  <c r="B14" i="5"/>
  <c r="E15" i="5"/>
  <c r="B16" i="5"/>
  <c r="E14" i="5"/>
  <c r="D16" i="5"/>
  <c r="D14" i="5"/>
  <c r="D15" i="5"/>
  <c r="C16" i="5"/>
  <c r="C15" i="5"/>
  <c r="C13" i="5"/>
  <c r="B15" i="5"/>
  <c r="E16" i="5"/>
  <c r="H13" i="5"/>
  <c r="F13" i="5"/>
  <c r="G13" i="5"/>
  <c r="I14" i="5"/>
  <c r="F15" i="5"/>
  <c r="G15" i="5"/>
  <c r="G16" i="5"/>
  <c r="F16" i="5"/>
  <c r="G14" i="5"/>
  <c r="F14" i="5"/>
  <c r="H15" i="5"/>
  <c r="I15" i="5"/>
  <c r="I13" i="5"/>
  <c r="I16" i="5"/>
  <c r="H16" i="5"/>
  <c r="H14" i="5"/>
  <c r="U17" i="3" l="1"/>
  <c r="AC17" i="3"/>
  <c r="Z21" i="5"/>
  <c r="U21" i="5"/>
  <c r="W21" i="5"/>
  <c r="Y21" i="5"/>
  <c r="U22" i="5"/>
  <c r="W22" i="5"/>
  <c r="Y22" i="5"/>
  <c r="U23" i="5"/>
  <c r="W23" i="5"/>
  <c r="Y23" i="5"/>
  <c r="U24" i="5"/>
  <c r="W24" i="5"/>
  <c r="Y24" i="5"/>
  <c r="U25" i="5"/>
  <c r="W25" i="5"/>
  <c r="Y25" i="5"/>
  <c r="U26" i="5"/>
  <c r="W26" i="5"/>
  <c r="Y26" i="5"/>
  <c r="U27" i="5"/>
  <c r="W27" i="5"/>
  <c r="Y27" i="5"/>
  <c r="U28" i="5"/>
  <c r="W28" i="5"/>
  <c r="Y28" i="5"/>
  <c r="V21" i="5"/>
  <c r="X21" i="5"/>
  <c r="AB21" i="5"/>
  <c r="V22" i="5"/>
  <c r="X22" i="5"/>
  <c r="AB22" i="5"/>
  <c r="V23" i="5"/>
  <c r="X23" i="5"/>
  <c r="AB23" i="5"/>
  <c r="V24" i="5"/>
  <c r="X24" i="5"/>
  <c r="AB24" i="5"/>
  <c r="V25" i="5"/>
  <c r="X25" i="5"/>
  <c r="AB25" i="5"/>
  <c r="V26" i="5"/>
  <c r="X26" i="5"/>
  <c r="V27" i="5"/>
  <c r="AB27" i="5"/>
  <c r="X28" i="5"/>
  <c r="AB26" i="5"/>
  <c r="X27" i="5"/>
  <c r="V28" i="5"/>
  <c r="AB28" i="5"/>
  <c r="AA27" i="5"/>
  <c r="AA25" i="5"/>
  <c r="AA23" i="5"/>
  <c r="AA21" i="5"/>
  <c r="Z27" i="5"/>
  <c r="Z25" i="5"/>
  <c r="Z23" i="5"/>
  <c r="AA26" i="5"/>
  <c r="AA22" i="5"/>
  <c r="Z28" i="5"/>
  <c r="Z24" i="5"/>
  <c r="AA28" i="5"/>
  <c r="AA24" i="5"/>
  <c r="Z26" i="5"/>
  <c r="Z22" i="5"/>
  <c r="Z13" i="5"/>
  <c r="V13" i="5"/>
  <c r="X13" i="5"/>
  <c r="AB13" i="5"/>
  <c r="V14" i="5"/>
  <c r="X14" i="5"/>
  <c r="AB14" i="5"/>
  <c r="V15" i="5"/>
  <c r="X15" i="5"/>
  <c r="AB15" i="5"/>
  <c r="V16" i="5"/>
  <c r="X16" i="5"/>
  <c r="AB16" i="5"/>
  <c r="V17" i="5"/>
  <c r="X17" i="5"/>
  <c r="U13" i="5"/>
  <c r="Y13" i="5"/>
  <c r="W14" i="5"/>
  <c r="U15" i="5"/>
  <c r="Y15" i="5"/>
  <c r="W16" i="5"/>
  <c r="U17" i="5"/>
  <c r="Y17" i="5"/>
  <c r="U18" i="5"/>
  <c r="W18" i="5"/>
  <c r="Y18" i="5"/>
  <c r="U19" i="5"/>
  <c r="W19" i="5"/>
  <c r="Y19" i="5"/>
  <c r="U20" i="5"/>
  <c r="W20" i="5"/>
  <c r="Y20" i="5"/>
  <c r="W13" i="5"/>
  <c r="U14" i="5"/>
  <c r="Y14" i="5"/>
  <c r="W15" i="5"/>
  <c r="U16" i="5"/>
  <c r="Y16" i="5"/>
  <c r="W17" i="5"/>
  <c r="AB17" i="5"/>
  <c r="V18" i="5"/>
  <c r="X18" i="5"/>
  <c r="AB18" i="5"/>
  <c r="V19" i="5"/>
  <c r="X19" i="5"/>
  <c r="AB19" i="5"/>
  <c r="V20" i="5"/>
  <c r="X20" i="5"/>
  <c r="AB20" i="5"/>
  <c r="AA20" i="5"/>
  <c r="AA18" i="5"/>
  <c r="AA16" i="5"/>
  <c r="AA14" i="5"/>
  <c r="Z20" i="5"/>
  <c r="Z18" i="5"/>
  <c r="Z16" i="5"/>
  <c r="Z14" i="5"/>
  <c r="AA19" i="5"/>
  <c r="AA15" i="5"/>
  <c r="Z19" i="5"/>
  <c r="Z15" i="5"/>
  <c r="AA17" i="5"/>
  <c r="AA13" i="5"/>
  <c r="Z17" i="5"/>
  <c r="AJ21" i="5"/>
  <c r="AC21" i="5"/>
  <c r="AE21" i="5"/>
  <c r="AG21" i="5"/>
  <c r="AD22" i="5"/>
  <c r="AF22" i="5"/>
  <c r="AC23" i="5"/>
  <c r="AE23" i="5"/>
  <c r="AG23" i="5"/>
  <c r="AD24" i="5"/>
  <c r="AF24" i="5"/>
  <c r="AC25" i="5"/>
  <c r="AE25" i="5"/>
  <c r="AG25" i="5"/>
  <c r="AD26" i="5"/>
  <c r="AF26" i="5"/>
  <c r="AC27" i="5"/>
  <c r="AE27" i="5"/>
  <c r="AG27" i="5"/>
  <c r="AD28" i="5"/>
  <c r="AF28" i="5"/>
  <c r="AD21" i="5"/>
  <c r="AF21" i="5"/>
  <c r="AC22" i="5"/>
  <c r="AE22" i="5"/>
  <c r="AG22" i="5"/>
  <c r="AD23" i="5"/>
  <c r="AF23" i="5"/>
  <c r="AC24" i="5"/>
  <c r="AE24" i="5"/>
  <c r="AG24" i="5"/>
  <c r="AD25" i="5"/>
  <c r="AF25" i="5"/>
  <c r="AC26" i="5"/>
  <c r="AE26" i="5"/>
  <c r="AG26" i="5"/>
  <c r="AD27" i="5"/>
  <c r="AF27" i="5"/>
  <c r="AC28" i="5"/>
  <c r="AE28" i="5"/>
  <c r="AG28" i="5"/>
  <c r="AI27" i="5"/>
  <c r="AI25" i="5"/>
  <c r="AI23" i="5"/>
  <c r="AI21" i="5"/>
  <c r="AH27" i="5"/>
  <c r="AH25" i="5"/>
  <c r="AH23" i="5"/>
  <c r="AH21" i="5"/>
  <c r="AJ27" i="5"/>
  <c r="AJ25" i="5"/>
  <c r="AJ23" i="5"/>
  <c r="AI26" i="5"/>
  <c r="AH28" i="5"/>
  <c r="AH24" i="5"/>
  <c r="AJ28" i="5"/>
  <c r="AJ24" i="5"/>
  <c r="AI28" i="5"/>
  <c r="AI24" i="5"/>
  <c r="AI22" i="5"/>
  <c r="AH26" i="5"/>
  <c r="AH22" i="5"/>
  <c r="AJ26" i="5"/>
  <c r="AJ22" i="5"/>
  <c r="AH13" i="5"/>
  <c r="AD13" i="5"/>
  <c r="AF13" i="5"/>
  <c r="AJ13" i="5"/>
  <c r="AD14" i="5"/>
  <c r="AF14" i="5"/>
  <c r="AJ14" i="5"/>
  <c r="AD15" i="5"/>
  <c r="AF15" i="5"/>
  <c r="AJ15" i="5"/>
  <c r="AD16" i="5"/>
  <c r="AF16" i="5"/>
  <c r="AJ16" i="5"/>
  <c r="AD17" i="5"/>
  <c r="AF17" i="5"/>
  <c r="AJ17" i="5"/>
  <c r="AD18" i="5"/>
  <c r="AF18" i="5"/>
  <c r="AJ18" i="5"/>
  <c r="AD19" i="5"/>
  <c r="AF19" i="5"/>
  <c r="AJ19" i="5"/>
  <c r="AD20" i="5"/>
  <c r="AF20" i="5"/>
  <c r="AJ20" i="5"/>
  <c r="AC13" i="5"/>
  <c r="AE13" i="5"/>
  <c r="AG13" i="5"/>
  <c r="AC14" i="5"/>
  <c r="AE14" i="5"/>
  <c r="AG14" i="5"/>
  <c r="AC15" i="5"/>
  <c r="AE15" i="5"/>
  <c r="AG15" i="5"/>
  <c r="AC16" i="5"/>
  <c r="AE16" i="5"/>
  <c r="AG16" i="5"/>
  <c r="AC17" i="5"/>
  <c r="AE17" i="5"/>
  <c r="AG17" i="5"/>
  <c r="AC18" i="5"/>
  <c r="AE18" i="5"/>
  <c r="AG18" i="5"/>
  <c r="AC19" i="5"/>
  <c r="AE19" i="5"/>
  <c r="AG19" i="5"/>
  <c r="AC20" i="5"/>
  <c r="AE20" i="5"/>
  <c r="AG20" i="5"/>
  <c r="AI20" i="5"/>
  <c r="AI18" i="5"/>
  <c r="AI16" i="5"/>
  <c r="AI14" i="5"/>
  <c r="AH20" i="5"/>
  <c r="AH18" i="5"/>
  <c r="AH16" i="5"/>
  <c r="AH14" i="5"/>
  <c r="AI19" i="5"/>
  <c r="AI15" i="5"/>
  <c r="AI13" i="5"/>
  <c r="AH17" i="5"/>
  <c r="AH15" i="5"/>
  <c r="AI17" i="5"/>
  <c r="AH19" i="5"/>
  <c r="H17" i="3"/>
  <c r="J17" i="3"/>
  <c r="I17" i="3"/>
  <c r="K17" i="3"/>
  <c r="L17" i="3"/>
  <c r="F17" i="3"/>
  <c r="M17" i="3"/>
  <c r="AA17" i="3" l="1"/>
  <c r="AI17" i="3"/>
  <c r="Z17" i="3"/>
  <c r="AH17" i="3"/>
  <c r="W17" i="3"/>
  <c r="AE17" i="3"/>
  <c r="V17" i="3"/>
  <c r="AD17" i="3"/>
  <c r="T17" i="3"/>
  <c r="AB17" i="3"/>
  <c r="K18" i="3"/>
  <c r="Y17" i="3"/>
  <c r="AG17" i="3"/>
  <c r="X17" i="3"/>
  <c r="AF17" i="3"/>
  <c r="M18" i="3"/>
  <c r="F18" i="3"/>
  <c r="G19" i="3" s="1"/>
  <c r="L18" i="3"/>
  <c r="I18" i="3"/>
  <c r="J18" i="3"/>
  <c r="H18" i="3"/>
  <c r="G18" i="3"/>
  <c r="H19" i="3" l="1"/>
  <c r="I19" i="3" s="1"/>
  <c r="T23" i="3" a="1"/>
  <c r="AI23" i="3" s="1"/>
  <c r="J19" i="3" l="1"/>
  <c r="K19" i="3" s="1"/>
  <c r="L19" i="3" s="1"/>
  <c r="M19" i="3" s="1"/>
  <c r="N19" i="3" s="1"/>
  <c r="P17" i="3"/>
  <c r="Q17" i="3" s="1"/>
  <c r="U23" i="3"/>
  <c r="AB23" i="3"/>
  <c r="AC23" i="3"/>
  <c r="AG23" i="3"/>
  <c r="AH23" i="3"/>
  <c r="AF23" i="3"/>
  <c r="Y23" i="3"/>
  <c r="AD23" i="3"/>
  <c r="V23" i="3"/>
  <c r="W23" i="3"/>
  <c r="Z23" i="3"/>
  <c r="AA23" i="3"/>
  <c r="X23" i="3"/>
  <c r="AE23" i="3"/>
  <c r="T23" i="3"/>
  <c r="T28" i="3" l="1" a="1"/>
  <c r="X28" i="3" s="1"/>
  <c r="F23" i="3" a="1"/>
  <c r="F23" i="3" s="1"/>
  <c r="L23" i="3"/>
  <c r="H23" i="3" l="1"/>
  <c r="J23" i="3"/>
  <c r="G23" i="3"/>
  <c r="AG28" i="3"/>
  <c r="AE28" i="3"/>
  <c r="Y28" i="3"/>
  <c r="AC28" i="3"/>
  <c r="W28" i="3"/>
  <c r="U28" i="3"/>
  <c r="AI28" i="3"/>
  <c r="AD28" i="3"/>
  <c r="AB28" i="3"/>
  <c r="V28" i="3"/>
  <c r="T28" i="3"/>
  <c r="AA28" i="3"/>
  <c r="AH28" i="3"/>
  <c r="AF28" i="3"/>
  <c r="Z28" i="3"/>
  <c r="M23" i="3"/>
  <c r="F28" i="3" a="1"/>
  <c r="J28" i="3" s="1"/>
  <c r="I23" i="3"/>
  <c r="K23" i="3"/>
  <c r="L28" i="3" l="1"/>
  <c r="I28" i="3"/>
  <c r="M28" i="3"/>
  <c r="G28" i="3"/>
  <c r="T34" i="3" a="1"/>
  <c r="AH34" i="3" s="1"/>
  <c r="H28" i="3"/>
  <c r="F28" i="3"/>
  <c r="K28" i="3"/>
  <c r="F29" i="3" l="1"/>
  <c r="G30" i="3" s="1"/>
  <c r="H29" i="3"/>
  <c r="J29" i="3"/>
  <c r="M29" i="3"/>
  <c r="I29" i="3"/>
  <c r="L29" i="3"/>
  <c r="K29" i="3"/>
  <c r="G29" i="3"/>
  <c r="AC34" i="3"/>
  <c r="AI34" i="3"/>
  <c r="Z34" i="3"/>
  <c r="AF34" i="3"/>
  <c r="AG34" i="3"/>
  <c r="AE34" i="3"/>
  <c r="W34" i="3"/>
  <c r="X34" i="3"/>
  <c r="AA34" i="3"/>
  <c r="T34" i="3"/>
  <c r="AB34" i="3"/>
  <c r="U34" i="3"/>
  <c r="AD34" i="3"/>
  <c r="V34" i="3"/>
  <c r="Y34" i="3"/>
  <c r="F34" i="3" a="1"/>
  <c r="H34" i="3" l="1"/>
  <c r="F34" i="3"/>
  <c r="J34" i="3"/>
  <c r="H30" i="3"/>
  <c r="I30" i="3" s="1"/>
  <c r="L34" i="3"/>
  <c r="T39" i="3" a="1"/>
  <c r="AC39" i="3" s="1"/>
  <c r="K34" i="3"/>
  <c r="G34" i="3"/>
  <c r="I34" i="3"/>
  <c r="M34" i="3"/>
  <c r="J30" i="3" l="1"/>
  <c r="K30" i="3" s="1"/>
  <c r="L30" i="3" s="1"/>
  <c r="M30" i="3" s="1"/>
  <c r="N30" i="3" s="1"/>
  <c r="AG39" i="3"/>
  <c r="Y39" i="3"/>
  <c r="AH39" i="3"/>
  <c r="V39" i="3"/>
  <c r="T39" i="3"/>
  <c r="F39" i="3" s="1" a="1"/>
  <c r="AI39" i="3"/>
  <c r="W39" i="3"/>
  <c r="AA39" i="3"/>
  <c r="AE39" i="3"/>
  <c r="X39" i="3"/>
  <c r="AD39" i="3"/>
  <c r="AB39" i="3"/>
  <c r="U39" i="3"/>
  <c r="AF39" i="3"/>
  <c r="Z39" i="3"/>
  <c r="P28" i="3" l="1"/>
  <c r="Q28" i="3" s="1"/>
  <c r="H39" i="3"/>
  <c r="K39" i="3"/>
  <c r="M39" i="3"/>
  <c r="J39" i="3"/>
  <c r="L39" i="3"/>
  <c r="I39" i="3"/>
  <c r="G39" i="3"/>
  <c r="F39" i="3"/>
  <c r="F40" i="3" l="1"/>
  <c r="G41" i="3" s="1"/>
  <c r="I40" i="3"/>
  <c r="G40" i="3"/>
  <c r="H41" i="3" s="1"/>
  <c r="J40" i="3"/>
  <c r="K40" i="3"/>
  <c r="L40" i="3"/>
  <c r="M40" i="3"/>
  <c r="H40" i="3"/>
  <c r="I41" i="3" l="1"/>
  <c r="J41" i="3" l="1"/>
  <c r="K41" i="3" s="1"/>
  <c r="L41" i="3" s="1"/>
  <c r="M41" i="3" s="1"/>
  <c r="N41" i="3" s="1"/>
  <c r="P39" i="3" l="1"/>
  <c r="Q39" i="3" s="1"/>
  <c r="R39" i="3" l="1"/>
</calcChain>
</file>

<file path=xl/sharedStrings.xml><?xml version="1.0" encoding="utf-8"?>
<sst xmlns="http://schemas.openxmlformats.org/spreadsheetml/2006/main" count="170" uniqueCount="93">
  <si>
    <r>
      <t>H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</si>
  <si>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r>
      <t>H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</si>
  <si>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H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</si>
  <si>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0.000</t>
  </si>
  <si>
    <t>0.001</t>
  </si>
  <si>
    <t>0.010</t>
  </si>
  <si>
    <t>0.011</t>
  </si>
  <si>
    <t>0.100</t>
  </si>
  <si>
    <t>1.000</t>
  </si>
  <si>
    <t>1.001</t>
  </si>
  <si>
    <t>1.010</t>
  </si>
  <si>
    <t>1.0</t>
  </si>
  <si>
    <t>0.101</t>
  </si>
  <si>
    <t>0.110</t>
  </si>
  <si>
    <t>0.111</t>
  </si>
  <si>
    <t>1.011</t>
  </si>
  <si>
    <t>1.100</t>
  </si>
  <si>
    <t>1.101</t>
  </si>
  <si>
    <t>1.110</t>
  </si>
  <si>
    <t>1.111</t>
  </si>
  <si>
    <t>0.0.0</t>
  </si>
  <si>
    <t>0.0.1</t>
  </si>
  <si>
    <t>0.1.0</t>
  </si>
  <si>
    <t>0.1.1</t>
  </si>
  <si>
    <t>1.0.0</t>
  </si>
  <si>
    <t>1.0.1</t>
  </si>
  <si>
    <t>1.1.0</t>
  </si>
  <si>
    <t>1.1.1</t>
  </si>
  <si>
    <t>y</t>
  </si>
  <si>
    <t>y.H1</t>
  </si>
  <si>
    <t>Amplitudes</t>
  </si>
  <si>
    <t>Estados :</t>
  </si>
  <si>
    <t>Amplitudes :</t>
  </si>
  <si>
    <r>
      <t>q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.q</t>
    </r>
    <r>
      <rPr>
        <b/>
        <vertAlign val="sub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.q</t>
    </r>
    <r>
      <rPr>
        <b/>
        <vertAlign val="subscript"/>
        <sz val="11"/>
        <color theme="1"/>
        <rFont val="Calibri"/>
        <family val="2"/>
        <scheme val="minor"/>
      </rPr>
      <t>2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</si>
  <si>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0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</si>
  <si>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1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</si>
  <si>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2</t>
    </r>
  </si>
  <si>
    <t>0.0</t>
  </si>
  <si>
    <t>0.1</t>
  </si>
  <si>
    <t>1.1</t>
  </si>
  <si>
    <r>
      <t>q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.q</t>
    </r>
    <r>
      <rPr>
        <b/>
        <vertAlign val="subscript"/>
        <sz val="11"/>
        <color theme="1"/>
        <rFont val="Calibri"/>
        <family val="2"/>
        <scheme val="minor"/>
      </rPr>
      <t>1</t>
    </r>
  </si>
  <si>
    <r>
      <rPr>
        <b/>
        <sz val="11"/>
        <color theme="1"/>
        <rFont val="Calibri"/>
        <family val="2"/>
        <scheme val="minor"/>
      </rPr>
      <t>[y]</t>
    </r>
    <r>
      <rPr>
        <sz val="11"/>
        <color theme="1"/>
        <rFont val="Calibri"/>
        <family val="2"/>
        <scheme val="minor"/>
      </rPr>
      <t>.</t>
    </r>
    <r>
      <rPr>
        <i/>
        <sz val="11"/>
        <color theme="1"/>
        <rFont val="Calibri"/>
        <family val="2"/>
        <scheme val="minor"/>
      </rPr>
      <t>[q2.q1.q0]</t>
    </r>
    <r>
      <rPr>
        <sz val="11"/>
        <color theme="1"/>
        <rFont val="Calibri"/>
        <family val="2"/>
        <scheme val="minor"/>
      </rPr>
      <t xml:space="preserve"> -&gt;</t>
    </r>
    <r>
      <rPr>
        <b/>
        <sz val="11"/>
        <color theme="1"/>
        <rFont val="Calibri"/>
        <family val="2"/>
        <scheme val="minor"/>
      </rPr>
      <t xml:space="preserve"> [y XOR f(q2.q1.q0)]</t>
    </r>
    <r>
      <rPr>
        <sz val="11"/>
        <color theme="1"/>
        <rFont val="Calibri"/>
        <family val="2"/>
        <scheme val="minor"/>
      </rPr>
      <t>.</t>
    </r>
    <r>
      <rPr>
        <i/>
        <sz val="11"/>
        <color theme="1"/>
        <rFont val="Calibri"/>
        <family val="2"/>
        <scheme val="minor"/>
      </rPr>
      <t>[q2.q1.q0]</t>
    </r>
  </si>
  <si>
    <t>f(1.0.0) = 1 // Demais f(q2.q1.q0) = 0</t>
  </si>
  <si>
    <t>Coluna -&gt; Linha</t>
  </si>
  <si>
    <r>
      <t xml:space="preserve">                    [ ket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(BD).ket</t>
    </r>
    <r>
      <rPr>
        <vertAlign val="subscript"/>
        <sz val="11"/>
        <color theme="1"/>
        <rFont val="Calibri"/>
        <family val="2"/>
        <scheme val="minor"/>
      </rPr>
      <t xml:space="preserve">1 </t>
    </r>
    <r>
      <rPr>
        <sz val="11"/>
        <color theme="1"/>
        <rFont val="Calibri"/>
        <family val="2"/>
        <scheme val="minor"/>
      </rPr>
      <t>]</t>
    </r>
  </si>
  <si>
    <r>
      <t>Atenção: A matriz abaixo NÃO é simétrica.  [ bra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bra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.(BD)</t>
    </r>
    <r>
      <rPr>
        <vertAlign val="superscript"/>
        <sz val="11"/>
        <color theme="1"/>
        <rFont val="Calibri"/>
        <family val="2"/>
        <scheme val="minor"/>
      </rPr>
      <t xml:space="preserve">t </t>
    </r>
    <r>
      <rPr>
        <sz val="11"/>
        <color theme="1"/>
        <rFont val="Calibri"/>
        <family val="2"/>
        <scheme val="minor"/>
      </rPr>
      <t>]</t>
    </r>
  </si>
  <si>
    <t>n=</t>
  </si>
  <si>
    <t>I3</t>
  </si>
  <si>
    <t>A3 = 1/n</t>
  </si>
  <si>
    <t>Matriz de Inversão em Relação à Média = (2.A3 - I) = Minv</t>
  </si>
  <si>
    <t>I2 x Minv</t>
  </si>
  <si>
    <r>
      <t>I</t>
    </r>
    <r>
      <rPr>
        <b/>
        <vertAlign val="subscript"/>
        <sz val="11"/>
        <color theme="1"/>
        <rFont val="Calibri"/>
        <family val="2"/>
        <scheme val="minor"/>
      </rPr>
      <t>2</t>
    </r>
  </si>
  <si>
    <r>
      <t>P(q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.q</t>
    </r>
    <r>
      <rPr>
        <b/>
        <vertAlign val="sub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.q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</si>
  <si>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Banco de Dados em Formato Matricial - Preparado para uma consulta via Qubits</t>
  </si>
  <si>
    <t>&lt;- Lembrar que para usar bras, o bra deve multiplicar a transposta da matriz abaixo</t>
  </si>
  <si>
    <t>Banco de Dados em Formato de Tabela - Preparado para uma consulta via Bits</t>
  </si>
  <si>
    <t>Endereço</t>
  </si>
  <si>
    <t>Resultado</t>
  </si>
  <si>
    <t>Valor</t>
  </si>
  <si>
    <t>Alice</t>
  </si>
  <si>
    <t>Bernardo</t>
  </si>
  <si>
    <t>Cristina</t>
  </si>
  <si>
    <t>Eduardo</t>
  </si>
  <si>
    <t>Fernanda</t>
  </si>
  <si>
    <t>Gustavo</t>
  </si>
  <si>
    <t>Hélia</t>
  </si>
  <si>
    <t>Ignácio</t>
  </si>
  <si>
    <t>Input ao</t>
  </si>
  <si>
    <t>DB Quântico-&gt;</t>
  </si>
  <si>
    <t>Output do</t>
  </si>
  <si>
    <t>Medidas são valores</t>
  </si>
  <si>
    <r>
      <t xml:space="preserve">observáveis (estão </t>
    </r>
    <r>
      <rPr>
        <i/>
        <sz val="11"/>
        <color theme="1"/>
        <rFont val="Calibri"/>
        <family val="2"/>
        <scheme val="minor"/>
      </rPr>
      <t>neste</t>
    </r>
    <r>
      <rPr>
        <sz val="11"/>
        <color theme="1"/>
        <rFont val="Calibri"/>
        <family val="2"/>
        <scheme val="minor"/>
      </rPr>
      <t xml:space="preserve"> mundo)</t>
    </r>
  </si>
  <si>
    <r>
      <t xml:space="preserve">(estão </t>
    </r>
    <r>
      <rPr>
        <i/>
        <sz val="11"/>
        <color theme="1"/>
        <rFont val="Calibri"/>
        <family val="2"/>
        <scheme val="minor"/>
      </rPr>
      <t>no outro</t>
    </r>
    <r>
      <rPr>
        <sz val="11"/>
        <color theme="1"/>
        <rFont val="Calibri"/>
        <family val="2"/>
        <scheme val="minor"/>
      </rPr>
      <t xml:space="preserve"> mundo)</t>
    </r>
  </si>
  <si>
    <t>são valores NÃO observáveis</t>
  </si>
  <si>
    <t>Prob.Ind.</t>
  </si>
  <si>
    <t>Prob.Ac.</t>
  </si>
  <si>
    <t>A matriz de inversão calcula:</t>
  </si>
  <si>
    <r>
      <t xml:space="preserve">   Z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 - ( X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 )</t>
    </r>
  </si>
  <si>
    <r>
      <t xml:space="preserve">  ou </t>
    </r>
    <r>
      <rPr>
        <b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 xml:space="preserve"> = (2.</t>
    </r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).</t>
    </r>
    <r>
      <rPr>
        <b/>
        <sz val="11"/>
        <color theme="1"/>
        <rFont val="Calibri"/>
        <family val="2"/>
        <scheme val="minor"/>
      </rPr>
      <t>X</t>
    </r>
  </si>
  <si>
    <t xml:space="preserve">  os elementos são iguais a 1/n ( neste </t>
  </si>
  <si>
    <t xml:space="preserve">  a qual neste exemplo é [8x8]</t>
  </si>
  <si>
    <r>
      <t xml:space="preserve">  onde </t>
    </r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é uma matriz onde todos</t>
    </r>
  </si>
  <si>
    <r>
      <t xml:space="preserve">  exemplo n=8 ) e</t>
    </r>
    <r>
      <rPr>
        <b/>
        <sz val="11"/>
        <color theme="1"/>
        <rFont val="Calibri"/>
        <family val="2"/>
        <scheme val="minor"/>
      </rPr>
      <t xml:space="preserve"> I</t>
    </r>
    <r>
      <rPr>
        <sz val="11"/>
        <color theme="1"/>
        <rFont val="Calibri"/>
        <family val="2"/>
        <scheme val="minor"/>
      </rPr>
      <t xml:space="preserve"> é uma matriz identidade</t>
    </r>
  </si>
  <si>
    <r>
      <t>e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= (y.H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 x (q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.q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.q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</si>
  <si>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e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e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. Banco de Dados</t>
    </r>
  </si>
  <si>
    <r>
      <t>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e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. [I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x Matriz de Inversão]</t>
    </r>
  </si>
  <si>
    <r>
      <t>e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= 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. Banco de Dados</t>
    </r>
  </si>
  <si>
    <r>
      <t>e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= e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. [I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x Matriz de Inversão]</t>
    </r>
  </si>
  <si>
    <r>
      <t>(q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.q</t>
    </r>
    <r>
      <rPr>
        <b/>
        <vertAlign val="sub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.q</t>
    </r>
    <r>
      <rPr>
        <b/>
        <vertAlign val="subscript"/>
        <sz val="11"/>
        <color theme="1"/>
        <rFont val="Calibri"/>
        <family val="2"/>
        <scheme val="minor"/>
      </rPr>
      <t>2).</t>
    </r>
    <r>
      <rPr>
        <b/>
        <sz val="11"/>
        <color theme="1"/>
        <rFont val="Calibri"/>
        <family val="2"/>
        <scheme val="minor"/>
      </rPr>
      <t>H</t>
    </r>
    <r>
      <rPr>
        <b/>
        <vertAlign val="subscript"/>
        <sz val="11"/>
        <color theme="1"/>
        <rFont val="Calibri"/>
        <family val="2"/>
        <scheme val="minor"/>
      </rPr>
      <t>3</t>
    </r>
  </si>
  <si>
    <r>
      <t>e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[(y.H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 x (q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.q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.q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)].Banco de Dados (apenas as amplitudes de q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.q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.q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</si>
  <si>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e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. [I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x Matriz de Inversão] (apenas as amplitudes de q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.q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.q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</si>
  <si>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e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= 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.Banco de Dados (apenas as amplitudes de q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.q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.q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</si>
  <si>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e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= e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. [I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x Matriz de Inversão] (apenas as amplitudes de q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.q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.q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</si>
</sst>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quotePrefix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3" fontId="0" fillId="0" borderId="0" xfId="0" quotePrefix="1" applyNumberFormat="1"/>
    <xf numFmtId="3" fontId="2" fillId="0" borderId="0" xfId="0" quotePrefix="1" applyNumberFormat="1" applyFont="1"/>
    <xf numFmtId="0" fontId="2" fillId="0" borderId="5" xfId="0" applyFont="1" applyBorder="1"/>
    <xf numFmtId="0" fontId="2" fillId="0" borderId="8" xfId="0" applyFont="1" applyBorder="1"/>
    <xf numFmtId="0" fontId="2" fillId="0" borderId="0" xfId="0" quotePrefix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9" fontId="0" fillId="0" borderId="0" xfId="1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2" fillId="0" borderId="6" xfId="0" quotePrefix="1" applyFont="1" applyBorder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7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3" borderId="8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" fontId="2" fillId="4" borderId="15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4" borderId="3" xfId="0" applyNumberFormat="1" applyFont="1" applyFill="1" applyBorder="1" applyAlignment="1">
      <alignment horizontal="center"/>
    </xf>
    <xf numFmtId="9" fontId="0" fillId="0" borderId="4" xfId="1" applyFont="1" applyBorder="1" applyAlignment="1">
      <alignment horizontal="center"/>
    </xf>
    <xf numFmtId="0" fontId="2" fillId="0" borderId="2" xfId="0" applyFont="1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7" xfId="0" applyFill="1" applyBorder="1" applyAlignment="1">
      <alignment horizontal="center"/>
    </xf>
    <xf numFmtId="9" fontId="0" fillId="0" borderId="0" xfId="1" applyFont="1" applyBorder="1" applyAlignment="1">
      <alignment horizontal="center"/>
    </xf>
    <xf numFmtId="0" fontId="8" fillId="0" borderId="0" xfId="0" applyFont="1"/>
    <xf numFmtId="0" fontId="2" fillId="0" borderId="14" xfId="0" applyFont="1" applyBorder="1" applyAlignment="1">
      <alignment horizont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right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800" b="1"/>
              <a:t>Amplitudes Iniciais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'E1'!$F$16:$M$16</c:f>
              <c:strCache>
                <c:ptCount val="8"/>
                <c:pt idx="0">
                  <c:v>0.0.0</c:v>
                </c:pt>
                <c:pt idx="1">
                  <c:v>0.0.1</c:v>
                </c:pt>
                <c:pt idx="2">
                  <c:v>0.1.0</c:v>
                </c:pt>
                <c:pt idx="3">
                  <c:v>0.1.1</c:v>
                </c:pt>
                <c:pt idx="4">
                  <c:v>1.0.0</c:v>
                </c:pt>
                <c:pt idx="5">
                  <c:v>1.0.1</c:v>
                </c:pt>
                <c:pt idx="6">
                  <c:v>1.1.0</c:v>
                </c:pt>
                <c:pt idx="7">
                  <c:v>1.1.1</c:v>
                </c:pt>
              </c:strCache>
            </c:strRef>
          </c:cat>
          <c:val>
            <c:numRef>
              <c:f>'E1'!$F$17:$M$17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8-4E4A-9D78-F12D57DDA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3830415"/>
        <c:axId val="543821263"/>
      </c:barChart>
      <c:catAx>
        <c:axId val="54383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821263"/>
        <c:crosses val="autoZero"/>
        <c:auto val="1"/>
        <c:lblAlgn val="ctr"/>
        <c:lblOffset val="100"/>
        <c:noMultiLvlLbl val="0"/>
      </c:catAx>
      <c:valAx>
        <c:axId val="543821263"/>
        <c:scaling>
          <c:orientation val="minMax"/>
          <c:max val="3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83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800" b="1"/>
              <a:t>Amplitudes após 1a Consulta + Inversão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'E1'!$F$16:$M$16</c:f>
              <c:strCache>
                <c:ptCount val="8"/>
                <c:pt idx="0">
                  <c:v>0.0.0</c:v>
                </c:pt>
                <c:pt idx="1">
                  <c:v>0.0.1</c:v>
                </c:pt>
                <c:pt idx="2">
                  <c:v>0.1.0</c:v>
                </c:pt>
                <c:pt idx="3">
                  <c:v>0.1.1</c:v>
                </c:pt>
                <c:pt idx="4">
                  <c:v>1.0.0</c:v>
                </c:pt>
                <c:pt idx="5">
                  <c:v>1.0.1</c:v>
                </c:pt>
                <c:pt idx="6">
                  <c:v>1.1.0</c:v>
                </c:pt>
                <c:pt idx="7">
                  <c:v>1.1.1</c:v>
                </c:pt>
              </c:strCache>
            </c:strRef>
          </c:cat>
          <c:val>
            <c:numRef>
              <c:f>'E1'!$F$28:$M$28</c:f>
              <c:numCache>
                <c:formatCode>General</c:formatCode>
                <c:ptCount val="8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2.5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8-44BA-BBF6-EC337B479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3830415"/>
        <c:axId val="543821263"/>
      </c:barChart>
      <c:catAx>
        <c:axId val="54383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821263"/>
        <c:crosses val="autoZero"/>
        <c:auto val="1"/>
        <c:lblAlgn val="ctr"/>
        <c:lblOffset val="100"/>
        <c:noMultiLvlLbl val="0"/>
      </c:catAx>
      <c:valAx>
        <c:axId val="543821263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83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800" b="1"/>
              <a:t>Amplitudes após 2a Consulta + Inversão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'E1'!$F$16:$M$16</c:f>
              <c:strCache>
                <c:ptCount val="8"/>
                <c:pt idx="0">
                  <c:v>0.0.0</c:v>
                </c:pt>
                <c:pt idx="1">
                  <c:v>0.0.1</c:v>
                </c:pt>
                <c:pt idx="2">
                  <c:v>0.1.0</c:v>
                </c:pt>
                <c:pt idx="3">
                  <c:v>0.1.1</c:v>
                </c:pt>
                <c:pt idx="4">
                  <c:v>1.0.0</c:v>
                </c:pt>
                <c:pt idx="5">
                  <c:v>1.0.1</c:v>
                </c:pt>
                <c:pt idx="6">
                  <c:v>1.1.0</c:v>
                </c:pt>
                <c:pt idx="7">
                  <c:v>1.1.1</c:v>
                </c:pt>
              </c:strCache>
            </c:strRef>
          </c:cat>
          <c:val>
            <c:numRef>
              <c:f>'E1'!$F$39:$M$39</c:f>
              <c:numCache>
                <c:formatCode>General</c:formatCode>
                <c:ptCount val="8"/>
                <c:pt idx="0">
                  <c:v>-0.25</c:v>
                </c:pt>
                <c:pt idx="1">
                  <c:v>-0.25</c:v>
                </c:pt>
                <c:pt idx="2">
                  <c:v>-0.25</c:v>
                </c:pt>
                <c:pt idx="3">
                  <c:v>-0.25</c:v>
                </c:pt>
                <c:pt idx="4">
                  <c:v>2.75</c:v>
                </c:pt>
                <c:pt idx="5">
                  <c:v>-0.25</c:v>
                </c:pt>
                <c:pt idx="6">
                  <c:v>-0.25</c:v>
                </c:pt>
                <c:pt idx="7">
                  <c:v>-0.25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5E-44E0-BF0E-9978F19E8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3830415"/>
        <c:axId val="543821263"/>
      </c:barChart>
      <c:catAx>
        <c:axId val="54383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821263"/>
        <c:crosses val="autoZero"/>
        <c:auto val="1"/>
        <c:lblAlgn val="ctr"/>
        <c:lblOffset val="100"/>
        <c:noMultiLvlLbl val="0"/>
      </c:catAx>
      <c:valAx>
        <c:axId val="54382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83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800" b="1"/>
              <a:t>Probabilidades Iniciais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'E1'!$F$16:$M$16</c:f>
              <c:strCache>
                <c:ptCount val="8"/>
                <c:pt idx="0">
                  <c:v>0.0.0</c:v>
                </c:pt>
                <c:pt idx="1">
                  <c:v>0.0.1</c:v>
                </c:pt>
                <c:pt idx="2">
                  <c:v>0.1.0</c:v>
                </c:pt>
                <c:pt idx="3">
                  <c:v>0.1.1</c:v>
                </c:pt>
                <c:pt idx="4">
                  <c:v>1.0.0</c:v>
                </c:pt>
                <c:pt idx="5">
                  <c:v>1.0.1</c:v>
                </c:pt>
                <c:pt idx="6">
                  <c:v>1.1.0</c:v>
                </c:pt>
                <c:pt idx="7">
                  <c:v>1.1.1</c:v>
                </c:pt>
              </c:strCache>
            </c:strRef>
          </c:cat>
          <c:val>
            <c:numRef>
              <c:f>'E1'!$F$18:$M$18</c:f>
              <c:numCache>
                <c:formatCode>0%</c:formatCode>
                <c:ptCount val="8"/>
                <c:pt idx="0">
                  <c:v>0.125</c:v>
                </c:pt>
                <c:pt idx="1">
                  <c:v>0.125</c:v>
                </c:pt>
                <c:pt idx="2">
                  <c:v>0.125</c:v>
                </c:pt>
                <c:pt idx="3">
                  <c:v>0.125</c:v>
                </c:pt>
                <c:pt idx="4">
                  <c:v>0.125</c:v>
                </c:pt>
                <c:pt idx="5">
                  <c:v>0.125</c:v>
                </c:pt>
                <c:pt idx="6">
                  <c:v>0.125</c:v>
                </c:pt>
                <c:pt idx="7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6-4F7F-A243-7A0BC8F91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3830415"/>
        <c:axId val="543821263"/>
      </c:barChart>
      <c:catAx>
        <c:axId val="54383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821263"/>
        <c:crosses val="autoZero"/>
        <c:auto val="1"/>
        <c:lblAlgn val="ctr"/>
        <c:lblOffset val="100"/>
        <c:noMultiLvlLbl val="0"/>
      </c:catAx>
      <c:valAx>
        <c:axId val="54382126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83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800" b="1"/>
              <a:t>Probabilidades após 1a Consulta + Inversão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'E1'!$F$16:$M$16</c:f>
              <c:strCache>
                <c:ptCount val="8"/>
                <c:pt idx="0">
                  <c:v>0.0.0</c:v>
                </c:pt>
                <c:pt idx="1">
                  <c:v>0.0.1</c:v>
                </c:pt>
                <c:pt idx="2">
                  <c:v>0.1.0</c:v>
                </c:pt>
                <c:pt idx="3">
                  <c:v>0.1.1</c:v>
                </c:pt>
                <c:pt idx="4">
                  <c:v>1.0.0</c:v>
                </c:pt>
                <c:pt idx="5">
                  <c:v>1.0.1</c:v>
                </c:pt>
                <c:pt idx="6">
                  <c:v>1.1.0</c:v>
                </c:pt>
                <c:pt idx="7">
                  <c:v>1.1.1</c:v>
                </c:pt>
              </c:strCache>
            </c:strRef>
          </c:cat>
          <c:val>
            <c:numRef>
              <c:f>'E1'!$F$29:$M$29</c:f>
              <c:numCache>
                <c:formatCode>0%</c:formatCode>
                <c:ptCount val="8"/>
                <c:pt idx="0">
                  <c:v>3.125E-2</c:v>
                </c:pt>
                <c:pt idx="1">
                  <c:v>3.125E-2</c:v>
                </c:pt>
                <c:pt idx="2">
                  <c:v>3.125E-2</c:v>
                </c:pt>
                <c:pt idx="3">
                  <c:v>3.125E-2</c:v>
                </c:pt>
                <c:pt idx="4">
                  <c:v>0.78125</c:v>
                </c:pt>
                <c:pt idx="5">
                  <c:v>3.125E-2</c:v>
                </c:pt>
                <c:pt idx="6">
                  <c:v>3.125E-2</c:v>
                </c:pt>
                <c:pt idx="7">
                  <c:v>3.125E-2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B-424A-AB77-41C003049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3830415"/>
        <c:axId val="543821263"/>
      </c:barChart>
      <c:catAx>
        <c:axId val="54383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821263"/>
        <c:crosses val="autoZero"/>
        <c:auto val="1"/>
        <c:lblAlgn val="ctr"/>
        <c:lblOffset val="100"/>
        <c:noMultiLvlLbl val="0"/>
      </c:catAx>
      <c:valAx>
        <c:axId val="54382126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83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800" b="1"/>
              <a:t>Probabilidades após 2a Consulta + Inversão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'E1'!$F$16:$M$16</c:f>
              <c:strCache>
                <c:ptCount val="8"/>
                <c:pt idx="0">
                  <c:v>0.0.0</c:v>
                </c:pt>
                <c:pt idx="1">
                  <c:v>0.0.1</c:v>
                </c:pt>
                <c:pt idx="2">
                  <c:v>0.1.0</c:v>
                </c:pt>
                <c:pt idx="3">
                  <c:v>0.1.1</c:v>
                </c:pt>
                <c:pt idx="4">
                  <c:v>1.0.0</c:v>
                </c:pt>
                <c:pt idx="5">
                  <c:v>1.0.1</c:v>
                </c:pt>
                <c:pt idx="6">
                  <c:v>1.1.0</c:v>
                </c:pt>
                <c:pt idx="7">
                  <c:v>1.1.1</c:v>
                </c:pt>
              </c:strCache>
            </c:strRef>
          </c:cat>
          <c:val>
            <c:numRef>
              <c:f>'E1'!$F$40:$M$40</c:f>
              <c:numCache>
                <c:formatCode>0%</c:formatCode>
                <c:ptCount val="8"/>
                <c:pt idx="0">
                  <c:v>7.8125E-3</c:v>
                </c:pt>
                <c:pt idx="1">
                  <c:v>7.8125E-3</c:v>
                </c:pt>
                <c:pt idx="2">
                  <c:v>7.8125E-3</c:v>
                </c:pt>
                <c:pt idx="3">
                  <c:v>7.8125E-3</c:v>
                </c:pt>
                <c:pt idx="4">
                  <c:v>0.9453125</c:v>
                </c:pt>
                <c:pt idx="5">
                  <c:v>7.8125E-3</c:v>
                </c:pt>
                <c:pt idx="6">
                  <c:v>7.8125E-3</c:v>
                </c:pt>
                <c:pt idx="7">
                  <c:v>7.8125E-3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6-4F1F-893B-FC4CE3D9E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3830415"/>
        <c:axId val="543821263"/>
      </c:barChart>
      <c:catAx>
        <c:axId val="54383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821263"/>
        <c:crosses val="autoZero"/>
        <c:auto val="1"/>
        <c:lblAlgn val="ctr"/>
        <c:lblOffset val="100"/>
        <c:noMultiLvlLbl val="0"/>
      </c:catAx>
      <c:valAx>
        <c:axId val="54382126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83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11724</xdr:colOff>
      <xdr:row>42</xdr:row>
      <xdr:rowOff>23446</xdr:rowOff>
    </xdr:from>
    <xdr:to>
      <xdr:col>10</xdr:col>
      <xdr:colOff>117232</xdr:colOff>
      <xdr:row>51</xdr:row>
      <xdr:rowOff>99646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11724</xdr:colOff>
      <xdr:row>54</xdr:row>
      <xdr:rowOff>17585</xdr:rowOff>
    </xdr:from>
    <xdr:to>
      <xdr:col>10</xdr:col>
      <xdr:colOff>117232</xdr:colOff>
      <xdr:row>63</xdr:row>
      <xdr:rowOff>93785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11722</xdr:colOff>
      <xdr:row>66</xdr:row>
      <xdr:rowOff>17585</xdr:rowOff>
    </xdr:from>
    <xdr:to>
      <xdr:col>10</xdr:col>
      <xdr:colOff>117230</xdr:colOff>
      <xdr:row>75</xdr:row>
      <xdr:rowOff>93785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42</xdr:row>
      <xdr:rowOff>0</xdr:rowOff>
    </xdr:from>
    <xdr:to>
      <xdr:col>17</xdr:col>
      <xdr:colOff>105508</xdr:colOff>
      <xdr:row>51</xdr:row>
      <xdr:rowOff>76200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54</xdr:row>
      <xdr:rowOff>0</xdr:rowOff>
    </xdr:from>
    <xdr:to>
      <xdr:col>17</xdr:col>
      <xdr:colOff>105508</xdr:colOff>
      <xdr:row>63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66</xdr:row>
      <xdr:rowOff>0</xdr:rowOff>
    </xdr:from>
    <xdr:to>
      <xdr:col>17</xdr:col>
      <xdr:colOff>105508</xdr:colOff>
      <xdr:row>75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I41"/>
  <sheetViews>
    <sheetView zoomScale="110" zoomScaleNormal="110" workbookViewId="0">
      <selection activeCell="Q28" sqref="Q28"/>
    </sheetView>
  </sheetViews>
  <sheetFormatPr defaultRowHeight="14.4" x14ac:dyDescent="0.3"/>
  <cols>
    <col min="1" max="1" width="11.44140625" style="17" bestFit="1" customWidth="1"/>
    <col min="18" max="18" width="9.44140625" bestFit="1" customWidth="1"/>
  </cols>
  <sheetData>
    <row r="1" spans="1:20" ht="15.6" x14ac:dyDescent="0.35">
      <c r="B1" s="28" t="s">
        <v>28</v>
      </c>
      <c r="C1" s="4"/>
      <c r="F1" s="28" t="s">
        <v>34</v>
      </c>
      <c r="G1" s="4"/>
      <c r="I1" s="28" t="s">
        <v>35</v>
      </c>
      <c r="J1" s="4"/>
      <c r="L1" s="28" t="s">
        <v>36</v>
      </c>
      <c r="M1" s="4"/>
    </row>
    <row r="2" spans="1:20" x14ac:dyDescent="0.3">
      <c r="A2" s="17" t="s">
        <v>31</v>
      </c>
      <c r="B2" s="29">
        <v>0</v>
      </c>
      <c r="C2" s="30">
        <v>1</v>
      </c>
      <c r="F2" s="29">
        <v>0</v>
      </c>
      <c r="G2" s="30">
        <v>1</v>
      </c>
      <c r="I2" s="29">
        <v>0</v>
      </c>
      <c r="J2" s="30">
        <v>1</v>
      </c>
      <c r="L2" s="29">
        <v>0</v>
      </c>
      <c r="M2" s="30">
        <v>1</v>
      </c>
    </row>
    <row r="3" spans="1:20" ht="15" thickBot="1" x14ac:dyDescent="0.35">
      <c r="A3" s="17" t="s">
        <v>32</v>
      </c>
      <c r="B3" s="35">
        <v>0</v>
      </c>
      <c r="C3" s="36">
        <v>1</v>
      </c>
      <c r="F3" s="35">
        <v>1</v>
      </c>
      <c r="G3" s="36">
        <v>0</v>
      </c>
      <c r="I3" s="35">
        <v>1</v>
      </c>
      <c r="J3" s="36">
        <v>0</v>
      </c>
      <c r="L3" s="35">
        <v>1</v>
      </c>
      <c r="M3" s="36">
        <v>0</v>
      </c>
    </row>
    <row r="4" spans="1:20" ht="15" thickBot="1" x14ac:dyDescent="0.35"/>
    <row r="5" spans="1:20" ht="15.6" x14ac:dyDescent="0.35">
      <c r="F5" s="28" t="s">
        <v>40</v>
      </c>
      <c r="G5" s="7"/>
      <c r="H5" s="7"/>
      <c r="I5" s="4"/>
    </row>
    <row r="6" spans="1:20" x14ac:dyDescent="0.3">
      <c r="F6" s="29" t="s">
        <v>37</v>
      </c>
      <c r="G6" s="16" t="s">
        <v>38</v>
      </c>
      <c r="H6" s="16" t="s">
        <v>11</v>
      </c>
      <c r="I6" s="30" t="s">
        <v>39</v>
      </c>
    </row>
    <row r="7" spans="1:20" ht="15" thickBot="1" x14ac:dyDescent="0.35">
      <c r="F7" s="31">
        <f>$F$3*I3</f>
        <v>1</v>
      </c>
      <c r="G7" s="34">
        <f>$F$3*J3</f>
        <v>0</v>
      </c>
      <c r="H7" s="34">
        <f>$G$3*I3</f>
        <v>0</v>
      </c>
      <c r="I7" s="32">
        <f>$G$3*J3</f>
        <v>0</v>
      </c>
    </row>
    <row r="8" spans="1:20" ht="15" thickBot="1" x14ac:dyDescent="0.35">
      <c r="P8" t="s">
        <v>70</v>
      </c>
    </row>
    <row r="9" spans="1:20" ht="16.2" thickBot="1" x14ac:dyDescent="0.4">
      <c r="B9" t="s">
        <v>30</v>
      </c>
      <c r="F9" s="28" t="s">
        <v>33</v>
      </c>
      <c r="G9" s="7"/>
      <c r="H9" s="7"/>
      <c r="I9" s="7"/>
      <c r="J9" s="7"/>
      <c r="K9" s="7"/>
      <c r="L9" s="7"/>
      <c r="M9" s="4"/>
      <c r="P9" s="57" t="s">
        <v>71</v>
      </c>
    </row>
    <row r="10" spans="1:20" ht="15.6" x14ac:dyDescent="0.35">
      <c r="B10" t="s">
        <v>73</v>
      </c>
      <c r="D10" s="2"/>
      <c r="E10" s="2"/>
      <c r="F10" s="25" t="s">
        <v>20</v>
      </c>
      <c r="G10" s="26" t="s">
        <v>21</v>
      </c>
      <c r="H10" s="26" t="s">
        <v>22</v>
      </c>
      <c r="I10" s="26" t="s">
        <v>23</v>
      </c>
      <c r="J10" s="26" t="s">
        <v>24</v>
      </c>
      <c r="K10" s="26" t="s">
        <v>25</v>
      </c>
      <c r="L10" s="26" t="s">
        <v>26</v>
      </c>
      <c r="M10" s="27" t="s">
        <v>27</v>
      </c>
      <c r="P10" s="56" t="s">
        <v>33</v>
      </c>
      <c r="Q10" s="16"/>
    </row>
    <row r="11" spans="1:20" ht="15" thickBot="1" x14ac:dyDescent="0.35">
      <c r="B11" s="57" t="s">
        <v>72</v>
      </c>
      <c r="F11" s="31">
        <f>$F$7*L3</f>
        <v>1</v>
      </c>
      <c r="G11" s="34">
        <f>$F$7*M3</f>
        <v>0</v>
      </c>
      <c r="H11" s="34">
        <f>$G$7*L3</f>
        <v>0</v>
      </c>
      <c r="I11" s="34">
        <f>$G$7*M3</f>
        <v>0</v>
      </c>
      <c r="J11" s="34">
        <f>$H$7*L3</f>
        <v>0</v>
      </c>
      <c r="K11" s="34">
        <f>$H$7*M3</f>
        <v>0</v>
      </c>
      <c r="L11" s="34">
        <f>$I$7*L3</f>
        <v>0</v>
      </c>
      <c r="M11" s="32">
        <f>$I$7*M3</f>
        <v>0</v>
      </c>
      <c r="P11" s="37" t="str">
        <f ca="1">INDEX(F10:M10,MATCH(RAND(),F13:M13,1))</f>
        <v>0.0.0</v>
      </c>
      <c r="Q11" s="18"/>
    </row>
    <row r="12" spans="1:20" x14ac:dyDescent="0.3">
      <c r="E12" t="s">
        <v>74</v>
      </c>
      <c r="F12" s="18">
        <f>F11^2/SUMPRODUCT($F11:$M11,$F11:$M11)</f>
        <v>1</v>
      </c>
      <c r="G12" s="18">
        <f t="shared" ref="G12:M12" si="0">G11^2/SUMPRODUCT($F11:$M11,$F11:$M11)</f>
        <v>0</v>
      </c>
      <c r="H12" s="18">
        <f t="shared" si="0"/>
        <v>0</v>
      </c>
      <c r="I12" s="18">
        <f t="shared" si="0"/>
        <v>0</v>
      </c>
      <c r="J12" s="18">
        <f t="shared" si="0"/>
        <v>0</v>
      </c>
      <c r="K12" s="18">
        <f t="shared" si="0"/>
        <v>0</v>
      </c>
      <c r="L12" s="18">
        <f t="shared" si="0"/>
        <v>0</v>
      </c>
      <c r="M12" s="18">
        <f t="shared" si="0"/>
        <v>0</v>
      </c>
    </row>
    <row r="13" spans="1:20" x14ac:dyDescent="0.3">
      <c r="E13" t="s">
        <v>75</v>
      </c>
      <c r="F13" s="19">
        <v>0</v>
      </c>
      <c r="G13" s="19">
        <f>F13+F12</f>
        <v>1</v>
      </c>
      <c r="H13" s="19">
        <f t="shared" ref="H13:N13" si="1">G13+G12</f>
        <v>1</v>
      </c>
      <c r="I13" s="19">
        <f t="shared" si="1"/>
        <v>1</v>
      </c>
      <c r="J13" s="19">
        <f t="shared" si="1"/>
        <v>1</v>
      </c>
      <c r="K13" s="19">
        <f t="shared" si="1"/>
        <v>1</v>
      </c>
      <c r="L13" s="19">
        <f t="shared" si="1"/>
        <v>1</v>
      </c>
      <c r="M13" s="19">
        <f t="shared" si="1"/>
        <v>1</v>
      </c>
      <c r="N13" s="19">
        <f t="shared" si="1"/>
        <v>1</v>
      </c>
      <c r="O13" s="19"/>
    </row>
    <row r="14" spans="1:20" ht="15" thickBot="1" x14ac:dyDescent="0.35">
      <c r="P14" t="s">
        <v>70</v>
      </c>
    </row>
    <row r="15" spans="1:20" ht="16.2" thickBot="1" x14ac:dyDescent="0.4">
      <c r="B15" s="28" t="s">
        <v>29</v>
      </c>
      <c r="C15" s="4"/>
      <c r="F15" s="33" t="s">
        <v>88</v>
      </c>
      <c r="G15" s="7"/>
      <c r="H15" s="7"/>
      <c r="I15" s="7"/>
      <c r="J15" s="7"/>
      <c r="K15" s="7"/>
      <c r="L15" s="7"/>
      <c r="M15" s="4"/>
      <c r="P15" s="57" t="s">
        <v>71</v>
      </c>
    </row>
    <row r="16" spans="1:20" ht="16.2" thickBot="1" x14ac:dyDescent="0.4">
      <c r="A16" s="17" t="s">
        <v>31</v>
      </c>
      <c r="B16" s="29">
        <v>0</v>
      </c>
      <c r="C16" s="30">
        <v>1</v>
      </c>
      <c r="D16" s="2"/>
      <c r="E16" s="55" t="s">
        <v>67</v>
      </c>
      <c r="F16" s="25" t="s">
        <v>20</v>
      </c>
      <c r="G16" s="26" t="s">
        <v>21</v>
      </c>
      <c r="H16" s="26" t="s">
        <v>22</v>
      </c>
      <c r="I16" s="26" t="s">
        <v>23</v>
      </c>
      <c r="J16" s="26" t="s">
        <v>24</v>
      </c>
      <c r="K16" s="26" t="s">
        <v>25</v>
      </c>
      <c r="L16" s="26" t="s">
        <v>26</v>
      </c>
      <c r="M16" s="27" t="s">
        <v>27</v>
      </c>
      <c r="P16" s="28" t="s">
        <v>33</v>
      </c>
      <c r="Q16" s="38" t="s">
        <v>52</v>
      </c>
      <c r="T16" t="s">
        <v>83</v>
      </c>
    </row>
    <row r="17" spans="1:35" ht="15" thickBot="1" x14ac:dyDescent="0.35">
      <c r="A17" s="17" t="s">
        <v>32</v>
      </c>
      <c r="B17" s="31">
        <f t="array" ref="B17:C17">MMULT(B3:C3,Matrizes!B3:C4)</f>
        <v>1</v>
      </c>
      <c r="C17" s="32">
        <v>-1</v>
      </c>
      <c r="E17" s="58" t="s">
        <v>68</v>
      </c>
      <c r="F17" s="31">
        <f t="array" ref="F17:M17">MMULT(F11:M11,Matrizes!B13:I20)</f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2">
        <v>1</v>
      </c>
      <c r="P17" s="39" t="str">
        <f ca="1">INDEX(F16:M16,MATCH(RAND(),F19:M19,1))</f>
        <v>1.1.1</v>
      </c>
      <c r="Q17" s="40">
        <f ca="1">INDEX(F17:M17,MATCH(P17,F16:M16,0))^2/SUMPRODUCT(F17:M17,F17:M17)</f>
        <v>0.125</v>
      </c>
      <c r="T17" s="20">
        <f>$B$17*F17</f>
        <v>1</v>
      </c>
      <c r="U17" s="21">
        <f t="shared" ref="U17:AA17" si="2">$B$17*G17</f>
        <v>1</v>
      </c>
      <c r="V17" s="21">
        <f t="shared" si="2"/>
        <v>1</v>
      </c>
      <c r="W17" s="21">
        <f t="shared" si="2"/>
        <v>1</v>
      </c>
      <c r="X17" s="21">
        <f t="shared" si="2"/>
        <v>1</v>
      </c>
      <c r="Y17" s="21">
        <f t="shared" si="2"/>
        <v>1</v>
      </c>
      <c r="Z17" s="21">
        <f t="shared" si="2"/>
        <v>1</v>
      </c>
      <c r="AA17" s="23">
        <f t="shared" si="2"/>
        <v>1</v>
      </c>
      <c r="AB17" s="24">
        <f>$C$17*F17</f>
        <v>-1</v>
      </c>
      <c r="AC17" s="21">
        <f t="shared" ref="AC17:AI17" si="3">$C$17*G17</f>
        <v>-1</v>
      </c>
      <c r="AD17" s="21">
        <f t="shared" si="3"/>
        <v>-1</v>
      </c>
      <c r="AE17" s="21">
        <f t="shared" si="3"/>
        <v>-1</v>
      </c>
      <c r="AF17" s="21">
        <f t="shared" si="3"/>
        <v>-1</v>
      </c>
      <c r="AG17" s="21">
        <f t="shared" si="3"/>
        <v>-1</v>
      </c>
      <c r="AH17" s="21">
        <f t="shared" si="3"/>
        <v>-1</v>
      </c>
      <c r="AI17" s="22">
        <f t="shared" si="3"/>
        <v>-1</v>
      </c>
    </row>
    <row r="18" spans="1:35" x14ac:dyDescent="0.3">
      <c r="E18" t="s">
        <v>74</v>
      </c>
      <c r="F18" s="18">
        <f>F17^2/SUMPRODUCT($F17:$M17,$F17:$M17)</f>
        <v>0.125</v>
      </c>
      <c r="G18" s="18">
        <f t="shared" ref="G18" si="4">G17^2/SUMPRODUCT($F17:$M17,$F17:$M17)</f>
        <v>0.125</v>
      </c>
      <c r="H18" s="18">
        <f t="shared" ref="H18" si="5">H17^2/SUMPRODUCT($F17:$M17,$F17:$M17)</f>
        <v>0.125</v>
      </c>
      <c r="I18" s="18">
        <f t="shared" ref="I18" si="6">I17^2/SUMPRODUCT($F17:$M17,$F17:$M17)</f>
        <v>0.125</v>
      </c>
      <c r="J18" s="18">
        <f t="shared" ref="J18" si="7">J17^2/SUMPRODUCT($F17:$M17,$F17:$M17)</f>
        <v>0.125</v>
      </c>
      <c r="K18" s="18">
        <f t="shared" ref="K18" si="8">K17^2/SUMPRODUCT($F17:$M17,$F17:$M17)</f>
        <v>0.125</v>
      </c>
      <c r="L18" s="18">
        <f t="shared" ref="L18" si="9">L17^2/SUMPRODUCT($F17:$M17,$F17:$M17)</f>
        <v>0.125</v>
      </c>
      <c r="M18" s="18">
        <f t="shared" ref="M18" si="10">M17^2/SUMPRODUCT($F17:$M17,$F17:$M17)</f>
        <v>0.125</v>
      </c>
      <c r="Q18" s="54"/>
    </row>
    <row r="19" spans="1:35" x14ac:dyDescent="0.3">
      <c r="E19" t="s">
        <v>75</v>
      </c>
      <c r="F19" s="19">
        <v>0</v>
      </c>
      <c r="G19" s="19">
        <f>F19+F18</f>
        <v>0.125</v>
      </c>
      <c r="H19" s="19">
        <f t="shared" ref="H19:N19" si="11">G19+G18</f>
        <v>0.25</v>
      </c>
      <c r="I19" s="19">
        <f t="shared" si="11"/>
        <v>0.375</v>
      </c>
      <c r="J19" s="19">
        <f t="shared" si="11"/>
        <v>0.5</v>
      </c>
      <c r="K19" s="19">
        <f t="shared" si="11"/>
        <v>0.625</v>
      </c>
      <c r="L19" s="19">
        <f t="shared" si="11"/>
        <v>0.75</v>
      </c>
      <c r="M19" s="19">
        <f t="shared" si="11"/>
        <v>0.875</v>
      </c>
      <c r="N19" s="19">
        <f t="shared" si="11"/>
        <v>1</v>
      </c>
      <c r="Q19" s="54"/>
    </row>
    <row r="20" spans="1:35" ht="15" thickBot="1" x14ac:dyDescent="0.35"/>
    <row r="21" spans="1:35" ht="15.6" x14ac:dyDescent="0.35">
      <c r="F21" s="3" t="s">
        <v>89</v>
      </c>
      <c r="G21" s="7"/>
      <c r="H21" s="7"/>
      <c r="I21" s="7"/>
      <c r="J21" s="7"/>
      <c r="K21" s="7"/>
      <c r="L21" s="7"/>
      <c r="M21" s="4"/>
    </row>
    <row r="22" spans="1:35" ht="16.2" thickBot="1" x14ac:dyDescent="0.4">
      <c r="A22" s="57"/>
      <c r="E22" s="58" t="s">
        <v>69</v>
      </c>
      <c r="F22" s="25" t="s">
        <v>20</v>
      </c>
      <c r="G22" s="26" t="s">
        <v>21</v>
      </c>
      <c r="H22" s="26" t="s">
        <v>22</v>
      </c>
      <c r="I22" s="26" t="s">
        <v>23</v>
      </c>
      <c r="J22" s="26" t="s">
        <v>24</v>
      </c>
      <c r="K22" s="26" t="s">
        <v>25</v>
      </c>
      <c r="L22" s="26" t="s">
        <v>26</v>
      </c>
      <c r="M22" s="27" t="s">
        <v>27</v>
      </c>
      <c r="Q22" s="16"/>
      <c r="T22" t="s">
        <v>84</v>
      </c>
    </row>
    <row r="23" spans="1:35" ht="15" thickBot="1" x14ac:dyDescent="0.35">
      <c r="E23" s="58" t="s">
        <v>68</v>
      </c>
      <c r="F23" s="51">
        <f t="array" ref="F23:M23">T23:AA23</f>
        <v>1</v>
      </c>
      <c r="G23" s="52">
        <v>1</v>
      </c>
      <c r="H23" s="52">
        <v>1</v>
      </c>
      <c r="I23" s="52">
        <v>1</v>
      </c>
      <c r="J23" s="52">
        <v>-1</v>
      </c>
      <c r="K23" s="52">
        <v>1</v>
      </c>
      <c r="L23" s="52">
        <v>1</v>
      </c>
      <c r="M23" s="53">
        <v>1</v>
      </c>
      <c r="Q23" s="18"/>
      <c r="T23" s="20">
        <f t="array" ref="T23:AI23">MMULT(T17:AI17,TRANSPOSE(Matrizes!B28:Q43))</f>
        <v>1</v>
      </c>
      <c r="U23" s="21">
        <v>1</v>
      </c>
      <c r="V23" s="21">
        <v>1</v>
      </c>
      <c r="W23" s="21">
        <v>1</v>
      </c>
      <c r="X23" s="21">
        <v>-1</v>
      </c>
      <c r="Y23" s="21">
        <v>1</v>
      </c>
      <c r="Z23" s="21">
        <v>1</v>
      </c>
      <c r="AA23" s="23">
        <v>1</v>
      </c>
      <c r="AB23" s="24">
        <v>-1</v>
      </c>
      <c r="AC23" s="21">
        <v>-1</v>
      </c>
      <c r="AD23" s="21">
        <v>-1</v>
      </c>
      <c r="AE23" s="21">
        <v>-1</v>
      </c>
      <c r="AF23" s="21">
        <v>1</v>
      </c>
      <c r="AG23" s="21">
        <v>-1</v>
      </c>
      <c r="AH23" s="21">
        <v>-1</v>
      </c>
      <c r="AI23" s="22">
        <v>-1</v>
      </c>
    </row>
    <row r="24" spans="1:35" x14ac:dyDescent="0.3">
      <c r="F24" s="8"/>
      <c r="M24" s="9"/>
    </row>
    <row r="25" spans="1:35" x14ac:dyDescent="0.3">
      <c r="F25" s="8"/>
      <c r="M25" s="9"/>
      <c r="P25" t="s">
        <v>70</v>
      </c>
    </row>
    <row r="26" spans="1:35" ht="16.2" thickBot="1" x14ac:dyDescent="0.4">
      <c r="A26" s="57" t="s">
        <v>76</v>
      </c>
      <c r="B26" s="57"/>
      <c r="C26" s="57"/>
      <c r="F26" s="8" t="s">
        <v>90</v>
      </c>
      <c r="M26" s="9"/>
      <c r="P26" s="57" t="s">
        <v>71</v>
      </c>
    </row>
    <row r="27" spans="1:35" ht="16.2" thickBot="1" x14ac:dyDescent="0.4">
      <c r="A27" s="57" t="s">
        <v>77</v>
      </c>
      <c r="B27" s="57"/>
      <c r="C27" s="57"/>
      <c r="E27" s="55" t="s">
        <v>67</v>
      </c>
      <c r="F27" s="25" t="s">
        <v>20</v>
      </c>
      <c r="G27" s="26" t="s">
        <v>21</v>
      </c>
      <c r="H27" s="26" t="s">
        <v>22</v>
      </c>
      <c r="I27" s="26" t="s">
        <v>23</v>
      </c>
      <c r="J27" s="26" t="s">
        <v>24</v>
      </c>
      <c r="K27" s="26" t="s">
        <v>25</v>
      </c>
      <c r="L27" s="26" t="s">
        <v>26</v>
      </c>
      <c r="M27" s="27" t="s">
        <v>27</v>
      </c>
      <c r="P27" s="28" t="s">
        <v>33</v>
      </c>
      <c r="Q27" s="38" t="s">
        <v>52</v>
      </c>
      <c r="T27" t="s">
        <v>85</v>
      </c>
    </row>
    <row r="28" spans="1:35" ht="15" thickBot="1" x14ac:dyDescent="0.35">
      <c r="A28" s="57" t="s">
        <v>78</v>
      </c>
      <c r="B28" s="57"/>
      <c r="C28" s="57"/>
      <c r="E28" s="58" t="s">
        <v>68</v>
      </c>
      <c r="F28" s="31">
        <f t="array" ref="F28:M28">T28:AA28</f>
        <v>0.5</v>
      </c>
      <c r="G28" s="34">
        <v>0.5</v>
      </c>
      <c r="H28" s="34">
        <v>0.5</v>
      </c>
      <c r="I28" s="34">
        <v>0.5</v>
      </c>
      <c r="J28" s="34">
        <v>2.5</v>
      </c>
      <c r="K28" s="34">
        <v>0.5</v>
      </c>
      <c r="L28" s="34">
        <v>0.5</v>
      </c>
      <c r="M28" s="32">
        <v>0.5</v>
      </c>
      <c r="P28" s="39" t="str">
        <f ca="1">INDEX(F27:M27,MATCH(RAND(),F30:M30,1))</f>
        <v>1.0.0</v>
      </c>
      <c r="Q28" s="40">
        <f ca="1">INDEX(F28:M28,MATCH(P28,F27:M27,0))^2/SUMPRODUCT(F28:M28,F28:M28)</f>
        <v>0.78125</v>
      </c>
      <c r="T28" s="20">
        <f t="array" ref="T28:AI28">MMULT(T23:AI23,Matrizes!U13:AJ28)</f>
        <v>0.5</v>
      </c>
      <c r="U28" s="21">
        <v>0.5</v>
      </c>
      <c r="V28" s="21">
        <v>0.5</v>
      </c>
      <c r="W28" s="21">
        <v>0.5</v>
      </c>
      <c r="X28" s="21">
        <v>2.5</v>
      </c>
      <c r="Y28" s="21">
        <v>0.5</v>
      </c>
      <c r="Z28" s="21">
        <v>0.5</v>
      </c>
      <c r="AA28" s="23">
        <v>0.5</v>
      </c>
      <c r="AB28" s="24">
        <v>-0.5</v>
      </c>
      <c r="AC28" s="21">
        <v>-0.5</v>
      </c>
      <c r="AD28" s="21">
        <v>-0.5</v>
      </c>
      <c r="AE28" s="21">
        <v>-0.5</v>
      </c>
      <c r="AF28" s="21">
        <v>-2.5</v>
      </c>
      <c r="AG28" s="21">
        <v>-0.5</v>
      </c>
      <c r="AH28" s="21">
        <v>-0.5</v>
      </c>
      <c r="AI28" s="22">
        <v>-0.5</v>
      </c>
    </row>
    <row r="29" spans="1:35" x14ac:dyDescent="0.3">
      <c r="A29" s="57" t="s">
        <v>81</v>
      </c>
      <c r="B29" s="57"/>
      <c r="C29" s="57"/>
      <c r="E29" t="s">
        <v>74</v>
      </c>
      <c r="F29" s="18">
        <f>F28^2/SUMPRODUCT($F28:$M28,$F28:$M28)</f>
        <v>3.125E-2</v>
      </c>
      <c r="G29" s="18">
        <f t="shared" ref="G29" si="12">G28^2/SUMPRODUCT($F28:$M28,$F28:$M28)</f>
        <v>3.125E-2</v>
      </c>
      <c r="H29" s="18">
        <f t="shared" ref="H29" si="13">H28^2/SUMPRODUCT($F28:$M28,$F28:$M28)</f>
        <v>3.125E-2</v>
      </c>
      <c r="I29" s="18">
        <f t="shared" ref="I29" si="14">I28^2/SUMPRODUCT($F28:$M28,$F28:$M28)</f>
        <v>3.125E-2</v>
      </c>
      <c r="J29" s="18">
        <f t="shared" ref="J29" si="15">J28^2/SUMPRODUCT($F28:$M28,$F28:$M28)</f>
        <v>0.78125</v>
      </c>
      <c r="K29" s="18">
        <f t="shared" ref="K29" si="16">K28^2/SUMPRODUCT($F28:$M28,$F28:$M28)</f>
        <v>3.125E-2</v>
      </c>
      <c r="L29" s="18">
        <f t="shared" ref="L29" si="17">L28^2/SUMPRODUCT($F28:$M28,$F28:$M28)</f>
        <v>3.125E-2</v>
      </c>
      <c r="M29" s="18">
        <f t="shared" ref="M29" si="18">M28^2/SUMPRODUCT($F28:$M28,$F28:$M28)</f>
        <v>3.125E-2</v>
      </c>
    </row>
    <row r="30" spans="1:35" x14ac:dyDescent="0.3">
      <c r="A30" s="57" t="s">
        <v>79</v>
      </c>
      <c r="B30" s="57"/>
      <c r="C30" s="57"/>
      <c r="E30" t="s">
        <v>75</v>
      </c>
      <c r="F30" s="19">
        <v>0</v>
      </c>
      <c r="G30" s="19">
        <f>F30+F29</f>
        <v>3.125E-2</v>
      </c>
      <c r="H30" s="19">
        <f t="shared" ref="H30:N30" si="19">G30+G29</f>
        <v>6.25E-2</v>
      </c>
      <c r="I30" s="19">
        <f t="shared" si="19"/>
        <v>9.375E-2</v>
      </c>
      <c r="J30" s="19">
        <f t="shared" si="19"/>
        <v>0.125</v>
      </c>
      <c r="K30" s="19">
        <f t="shared" si="19"/>
        <v>0.90625</v>
      </c>
      <c r="L30" s="19">
        <f t="shared" si="19"/>
        <v>0.9375</v>
      </c>
      <c r="M30" s="19">
        <f t="shared" si="19"/>
        <v>0.96875</v>
      </c>
      <c r="N30" s="19">
        <f t="shared" si="19"/>
        <v>1</v>
      </c>
    </row>
    <row r="31" spans="1:35" ht="15" thickBot="1" x14ac:dyDescent="0.35">
      <c r="A31" s="57" t="s">
        <v>82</v>
      </c>
    </row>
    <row r="32" spans="1:35" ht="15.6" x14ac:dyDescent="0.35">
      <c r="A32" s="57" t="s">
        <v>80</v>
      </c>
      <c r="F32" s="3" t="s">
        <v>91</v>
      </c>
      <c r="G32" s="7"/>
      <c r="H32" s="7"/>
      <c r="I32" s="7"/>
      <c r="J32" s="7"/>
      <c r="K32" s="7"/>
      <c r="L32" s="7"/>
      <c r="M32" s="4"/>
    </row>
    <row r="33" spans="2:35" ht="16.2" thickBot="1" x14ac:dyDescent="0.4">
      <c r="E33" s="58" t="s">
        <v>69</v>
      </c>
      <c r="F33" s="25" t="s">
        <v>20</v>
      </c>
      <c r="G33" s="26" t="s">
        <v>21</v>
      </c>
      <c r="H33" s="26" t="s">
        <v>22</v>
      </c>
      <c r="I33" s="26" t="s">
        <v>23</v>
      </c>
      <c r="J33" s="26" t="s">
        <v>24</v>
      </c>
      <c r="K33" s="26" t="s">
        <v>25</v>
      </c>
      <c r="L33" s="26" t="s">
        <v>26</v>
      </c>
      <c r="M33" s="27" t="s">
        <v>27</v>
      </c>
      <c r="Q33" s="16"/>
      <c r="T33" t="s">
        <v>86</v>
      </c>
    </row>
    <row r="34" spans="2:35" ht="15" thickBot="1" x14ac:dyDescent="0.35">
      <c r="E34" s="58" t="s">
        <v>68</v>
      </c>
      <c r="F34" s="51">
        <f t="array" ref="F34:M34">T34:AA34</f>
        <v>0.5</v>
      </c>
      <c r="G34" s="52">
        <v>0.5</v>
      </c>
      <c r="H34" s="52">
        <v>0.5</v>
      </c>
      <c r="I34" s="52">
        <v>0.5</v>
      </c>
      <c r="J34" s="52">
        <v>-2.5</v>
      </c>
      <c r="K34" s="52">
        <v>0.5</v>
      </c>
      <c r="L34" s="52">
        <v>0.5</v>
      </c>
      <c r="M34" s="53">
        <v>0.5</v>
      </c>
      <c r="Q34" s="18"/>
      <c r="T34" s="20">
        <f t="array" ref="T34:AI34">MMULT(T28:AI28,TRANSPOSE(Matrizes!B28:Q43))</f>
        <v>0.5</v>
      </c>
      <c r="U34" s="21">
        <v>0.5</v>
      </c>
      <c r="V34" s="21">
        <v>0.5</v>
      </c>
      <c r="W34" s="21">
        <v>0.5</v>
      </c>
      <c r="X34" s="21">
        <v>-2.5</v>
      </c>
      <c r="Y34" s="21">
        <v>0.5</v>
      </c>
      <c r="Z34" s="21">
        <v>0.5</v>
      </c>
      <c r="AA34" s="23">
        <v>0.5</v>
      </c>
      <c r="AB34" s="24">
        <v>-0.5</v>
      </c>
      <c r="AC34" s="21">
        <v>-0.5</v>
      </c>
      <c r="AD34" s="21">
        <v>-0.5</v>
      </c>
      <c r="AE34" s="21">
        <v>-0.5</v>
      </c>
      <c r="AF34" s="21">
        <v>2.5</v>
      </c>
      <c r="AG34" s="21">
        <v>-0.5</v>
      </c>
      <c r="AH34" s="21">
        <v>-0.5</v>
      </c>
      <c r="AI34" s="22">
        <v>-0.5</v>
      </c>
    </row>
    <row r="35" spans="2:35" x14ac:dyDescent="0.3">
      <c r="F35" s="8"/>
      <c r="M35" s="9"/>
    </row>
    <row r="36" spans="2:35" x14ac:dyDescent="0.3">
      <c r="F36" s="8"/>
      <c r="M36" s="9"/>
      <c r="P36" t="s">
        <v>70</v>
      </c>
    </row>
    <row r="37" spans="2:35" ht="16.2" thickBot="1" x14ac:dyDescent="0.4">
      <c r="B37" t="s">
        <v>30</v>
      </c>
      <c r="F37" s="8" t="s">
        <v>92</v>
      </c>
      <c r="M37" s="9"/>
      <c r="P37" s="57" t="s">
        <v>71</v>
      </c>
    </row>
    <row r="38" spans="2:35" ht="16.2" thickBot="1" x14ac:dyDescent="0.4">
      <c r="B38" t="s">
        <v>73</v>
      </c>
      <c r="F38" s="25" t="s">
        <v>20</v>
      </c>
      <c r="G38" s="26" t="s">
        <v>21</v>
      </c>
      <c r="H38" s="26" t="s">
        <v>22</v>
      </c>
      <c r="I38" s="26" t="s">
        <v>23</v>
      </c>
      <c r="J38" s="26" t="s">
        <v>24</v>
      </c>
      <c r="K38" s="26" t="s">
        <v>25</v>
      </c>
      <c r="L38" s="26" t="s">
        <v>26</v>
      </c>
      <c r="M38" s="27" t="s">
        <v>27</v>
      </c>
      <c r="P38" s="28" t="s">
        <v>33</v>
      </c>
      <c r="Q38" s="38" t="s">
        <v>52</v>
      </c>
      <c r="R38" s="41" t="s">
        <v>57</v>
      </c>
      <c r="T38" t="s">
        <v>87</v>
      </c>
    </row>
    <row r="39" spans="2:35" ht="15" thickBot="1" x14ac:dyDescent="0.35">
      <c r="B39" s="57" t="s">
        <v>72</v>
      </c>
      <c r="F39" s="31">
        <f t="array" ref="F39:M39">T39:AA39</f>
        <v>-0.25</v>
      </c>
      <c r="G39" s="34">
        <v>-0.25</v>
      </c>
      <c r="H39" s="34">
        <v>-0.25</v>
      </c>
      <c r="I39" s="34">
        <v>-0.25</v>
      </c>
      <c r="J39" s="34">
        <v>2.75</v>
      </c>
      <c r="K39" s="34">
        <v>-0.25</v>
      </c>
      <c r="L39" s="34">
        <v>-0.25</v>
      </c>
      <c r="M39" s="32">
        <v>-0.25</v>
      </c>
      <c r="P39" s="39" t="str">
        <f ca="1">INDEX(F38:M38,MATCH(RAND(),F41:M41,1))</f>
        <v>1.0.0</v>
      </c>
      <c r="Q39" s="40">
        <f ca="1">INDEX(F39:M39,MATCH(P39,F38:M38,0))^2/SUMPRODUCT(F39:M39,F39:M39)</f>
        <v>0.9453125</v>
      </c>
      <c r="R39" s="6" t="str">
        <f ca="1">INDEX(Matrizes!W33:W40,MATCH('E1'!P39,Matrizes!U33:U40,0))</f>
        <v>Fernanda</v>
      </c>
      <c r="T39" s="20">
        <f t="array" ref="T39:AI39">MMULT(T34:AI34,Matrizes!U13:AJ28)</f>
        <v>-0.25</v>
      </c>
      <c r="U39" s="21">
        <v>-0.25</v>
      </c>
      <c r="V39" s="21">
        <v>-0.25</v>
      </c>
      <c r="W39" s="21">
        <v>-0.25</v>
      </c>
      <c r="X39" s="21">
        <v>2.75</v>
      </c>
      <c r="Y39" s="21">
        <v>-0.25</v>
      </c>
      <c r="Z39" s="21">
        <v>-0.25</v>
      </c>
      <c r="AA39" s="23">
        <v>-0.25</v>
      </c>
      <c r="AB39" s="24">
        <v>0.25</v>
      </c>
      <c r="AC39" s="21">
        <v>0.25</v>
      </c>
      <c r="AD39" s="21">
        <v>0.25</v>
      </c>
      <c r="AE39" s="21">
        <v>0.25</v>
      </c>
      <c r="AF39" s="21">
        <v>-2.75</v>
      </c>
      <c r="AG39" s="21">
        <v>0.25</v>
      </c>
      <c r="AH39" s="21">
        <v>0.25</v>
      </c>
      <c r="AI39" s="22">
        <v>0.25</v>
      </c>
    </row>
    <row r="40" spans="2:35" x14ac:dyDescent="0.3">
      <c r="E40" t="s">
        <v>74</v>
      </c>
      <c r="F40" s="18">
        <f>F39^2/SUMPRODUCT($F39:$M39,$F39:$M39)</f>
        <v>7.8125E-3</v>
      </c>
      <c r="G40" s="18">
        <f t="shared" ref="G40" si="20">G39^2/SUMPRODUCT($F39:$M39,$F39:$M39)</f>
        <v>7.8125E-3</v>
      </c>
      <c r="H40" s="18">
        <f t="shared" ref="H40" si="21">H39^2/SUMPRODUCT($F39:$M39,$F39:$M39)</f>
        <v>7.8125E-3</v>
      </c>
      <c r="I40" s="18">
        <f t="shared" ref="I40" si="22">I39^2/SUMPRODUCT($F39:$M39,$F39:$M39)</f>
        <v>7.8125E-3</v>
      </c>
      <c r="J40" s="18">
        <f t="shared" ref="J40" si="23">J39^2/SUMPRODUCT($F39:$M39,$F39:$M39)</f>
        <v>0.9453125</v>
      </c>
      <c r="K40" s="18">
        <f t="shared" ref="K40" si="24">K39^2/SUMPRODUCT($F39:$M39,$F39:$M39)</f>
        <v>7.8125E-3</v>
      </c>
      <c r="L40" s="18">
        <f t="shared" ref="L40" si="25">L39^2/SUMPRODUCT($F39:$M39,$F39:$M39)</f>
        <v>7.8125E-3</v>
      </c>
      <c r="M40" s="18">
        <f t="shared" ref="M40" si="26">M39^2/SUMPRODUCT($F39:$M39,$F39:$M39)</f>
        <v>7.8125E-3</v>
      </c>
    </row>
    <row r="41" spans="2:35" x14ac:dyDescent="0.3">
      <c r="E41" t="s">
        <v>75</v>
      </c>
      <c r="F41" s="19">
        <v>0</v>
      </c>
      <c r="G41" s="19">
        <f>F41+F40</f>
        <v>7.8125E-3</v>
      </c>
      <c r="H41" s="19">
        <f t="shared" ref="H41:N41" si="27">G41+G40</f>
        <v>1.5625E-2</v>
      </c>
      <c r="I41" s="19">
        <f t="shared" si="27"/>
        <v>2.34375E-2</v>
      </c>
      <c r="J41" s="19">
        <f t="shared" si="27"/>
        <v>3.125E-2</v>
      </c>
      <c r="K41" s="19">
        <f t="shared" si="27"/>
        <v>0.9765625</v>
      </c>
      <c r="L41" s="19">
        <f t="shared" si="27"/>
        <v>0.984375</v>
      </c>
      <c r="M41" s="19">
        <f t="shared" si="27"/>
        <v>0.9921875</v>
      </c>
      <c r="N41" s="19">
        <f t="shared" si="27"/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2:AJ43"/>
  <sheetViews>
    <sheetView tabSelected="1" workbookViewId="0">
      <selection activeCell="D16" sqref="D16"/>
    </sheetView>
  </sheetViews>
  <sheetFormatPr defaultRowHeight="14.4" x14ac:dyDescent="0.3"/>
  <sheetData>
    <row r="2" spans="2:36" ht="16.8" thickBot="1" x14ac:dyDescent="0.35">
      <c r="C2" s="2" t="s">
        <v>0</v>
      </c>
      <c r="L2" t="s">
        <v>48</v>
      </c>
      <c r="M2" s="17" t="s">
        <v>46</v>
      </c>
      <c r="N2">
        <f>2^3</f>
        <v>8</v>
      </c>
      <c r="U2" t="s">
        <v>47</v>
      </c>
    </row>
    <row r="3" spans="2:36" x14ac:dyDescent="0.3">
      <c r="B3" s="3">
        <v>1</v>
      </c>
      <c r="C3" s="4">
        <v>1</v>
      </c>
      <c r="L3" s="3">
        <f t="array" ref="L3:S10">1/N2</f>
        <v>0.125</v>
      </c>
      <c r="M3" s="7">
        <v>0.125</v>
      </c>
      <c r="N3" s="7">
        <v>0.125</v>
      </c>
      <c r="O3" s="7">
        <v>0.125</v>
      </c>
      <c r="P3" s="7">
        <v>0.125</v>
      </c>
      <c r="Q3" s="7">
        <v>0.125</v>
      </c>
      <c r="R3" s="7">
        <v>0.125</v>
      </c>
      <c r="S3" s="4">
        <v>0.125</v>
      </c>
      <c r="U3" s="3">
        <v>1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4">
        <v>0</v>
      </c>
    </row>
    <row r="4" spans="2:36" ht="15" thickBot="1" x14ac:dyDescent="0.35">
      <c r="B4" s="5">
        <v>1</v>
      </c>
      <c r="C4" s="6">
        <v>-1</v>
      </c>
      <c r="L4" s="8">
        <v>0.125</v>
      </c>
      <c r="M4">
        <v>0.125</v>
      </c>
      <c r="N4">
        <v>0.125</v>
      </c>
      <c r="O4">
        <v>0.125</v>
      </c>
      <c r="P4">
        <v>0.125</v>
      </c>
      <c r="Q4">
        <v>0.125</v>
      </c>
      <c r="R4">
        <v>0.125</v>
      </c>
      <c r="S4" s="9">
        <v>0.125</v>
      </c>
      <c r="U4" s="8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 s="9">
        <v>0</v>
      </c>
    </row>
    <row r="5" spans="2:36" x14ac:dyDescent="0.3">
      <c r="L5" s="8">
        <v>0.125</v>
      </c>
      <c r="M5">
        <v>0.125</v>
      </c>
      <c r="N5">
        <v>0.125</v>
      </c>
      <c r="O5">
        <v>0.125</v>
      </c>
      <c r="P5">
        <v>0.125</v>
      </c>
      <c r="Q5">
        <v>0.125</v>
      </c>
      <c r="R5">
        <v>0.125</v>
      </c>
      <c r="S5" s="9">
        <v>0.125</v>
      </c>
      <c r="U5" s="8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 s="9">
        <v>0</v>
      </c>
    </row>
    <row r="6" spans="2:36" ht="17.399999999999999" thickBot="1" x14ac:dyDescent="0.4">
      <c r="D6" s="2" t="s">
        <v>1</v>
      </c>
      <c r="H6" s="2" t="s">
        <v>51</v>
      </c>
      <c r="L6" s="8">
        <v>0.125</v>
      </c>
      <c r="M6">
        <v>0.125</v>
      </c>
      <c r="N6">
        <v>0.125</v>
      </c>
      <c r="O6">
        <v>0.125</v>
      </c>
      <c r="P6">
        <v>0.125</v>
      </c>
      <c r="Q6">
        <v>0.125</v>
      </c>
      <c r="R6">
        <v>0.125</v>
      </c>
      <c r="S6" s="9">
        <v>0.125</v>
      </c>
      <c r="U6" s="8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 s="9">
        <v>0</v>
      </c>
    </row>
    <row r="7" spans="2:36" x14ac:dyDescent="0.3">
      <c r="B7" s="3">
        <f t="array" ref="B7:C8">B3*B3:C4</f>
        <v>1</v>
      </c>
      <c r="C7" s="7">
        <v>1</v>
      </c>
      <c r="D7" s="7">
        <f t="array" ref="D7:E8">C3*B3:C4</f>
        <v>1</v>
      </c>
      <c r="E7" s="4">
        <v>1</v>
      </c>
      <c r="G7" s="3">
        <v>1</v>
      </c>
      <c r="H7" s="4">
        <v>0</v>
      </c>
      <c r="L7" s="8">
        <v>0.125</v>
      </c>
      <c r="M7">
        <v>0.125</v>
      </c>
      <c r="N7">
        <v>0.125</v>
      </c>
      <c r="O7">
        <v>0.125</v>
      </c>
      <c r="P7">
        <v>0.125</v>
      </c>
      <c r="Q7">
        <v>0.125</v>
      </c>
      <c r="R7">
        <v>0.125</v>
      </c>
      <c r="S7" s="9">
        <v>0.125</v>
      </c>
      <c r="U7" s="8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 s="9">
        <v>0</v>
      </c>
    </row>
    <row r="8" spans="2:36" ht="15" thickBot="1" x14ac:dyDescent="0.35">
      <c r="B8" s="8">
        <v>1</v>
      </c>
      <c r="C8">
        <v>-1</v>
      </c>
      <c r="D8">
        <v>1</v>
      </c>
      <c r="E8" s="9">
        <v>-1</v>
      </c>
      <c r="G8" s="5">
        <v>0</v>
      </c>
      <c r="H8" s="6">
        <v>1</v>
      </c>
      <c r="L8" s="8">
        <v>0.125</v>
      </c>
      <c r="M8">
        <v>0.125</v>
      </c>
      <c r="N8">
        <v>0.125</v>
      </c>
      <c r="O8">
        <v>0.125</v>
      </c>
      <c r="P8">
        <v>0.125</v>
      </c>
      <c r="Q8">
        <v>0.125</v>
      </c>
      <c r="R8">
        <v>0.125</v>
      </c>
      <c r="S8" s="9">
        <v>0.125</v>
      </c>
      <c r="U8" s="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 s="9">
        <v>0</v>
      </c>
    </row>
    <row r="9" spans="2:36" x14ac:dyDescent="0.3">
      <c r="B9" s="8">
        <f t="array" ref="B9:C10">B4*B3:C4</f>
        <v>1</v>
      </c>
      <c r="C9">
        <v>1</v>
      </c>
      <c r="D9">
        <f t="array" ref="D9:E10">C4*B3:C4</f>
        <v>-1</v>
      </c>
      <c r="E9" s="9">
        <v>-1</v>
      </c>
      <c r="L9" s="8">
        <v>0.125</v>
      </c>
      <c r="M9">
        <v>0.125</v>
      </c>
      <c r="N9">
        <v>0.125</v>
      </c>
      <c r="O9">
        <v>0.125</v>
      </c>
      <c r="P9">
        <v>0.125</v>
      </c>
      <c r="Q9">
        <v>0.125</v>
      </c>
      <c r="R9">
        <v>0.125</v>
      </c>
      <c r="S9" s="9">
        <v>0.125</v>
      </c>
      <c r="U9" s="8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 s="9">
        <v>0</v>
      </c>
    </row>
    <row r="10" spans="2:36" ht="15" thickBot="1" x14ac:dyDescent="0.35">
      <c r="B10" s="5">
        <v>1</v>
      </c>
      <c r="C10" s="10">
        <v>-1</v>
      </c>
      <c r="D10" s="10">
        <v>-1</v>
      </c>
      <c r="E10" s="6">
        <v>1</v>
      </c>
      <c r="L10" s="5">
        <v>0.125</v>
      </c>
      <c r="M10" s="10">
        <v>0.125</v>
      </c>
      <c r="N10" s="10">
        <v>0.125</v>
      </c>
      <c r="O10" s="10">
        <v>0.125</v>
      </c>
      <c r="P10" s="10">
        <v>0.125</v>
      </c>
      <c r="Q10" s="10">
        <v>0.125</v>
      </c>
      <c r="R10" s="10">
        <v>0.125</v>
      </c>
      <c r="S10" s="6">
        <v>0.125</v>
      </c>
      <c r="U10" s="5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6">
        <v>1</v>
      </c>
    </row>
    <row r="12" spans="2:36" ht="16.8" thickBot="1" x14ac:dyDescent="0.35">
      <c r="F12" s="2" t="s">
        <v>2</v>
      </c>
      <c r="L12" t="s">
        <v>49</v>
      </c>
      <c r="U12" t="s">
        <v>50</v>
      </c>
    </row>
    <row r="13" spans="2:36" x14ac:dyDescent="0.3">
      <c r="B13" s="3">
        <f t="array" ref="B13:E16">B3*B7:E10</f>
        <v>1</v>
      </c>
      <c r="C13" s="7">
        <v>1</v>
      </c>
      <c r="D13" s="7">
        <v>1</v>
      </c>
      <c r="E13" s="7">
        <v>1</v>
      </c>
      <c r="F13" s="7">
        <f t="array" ref="F13:I16">C3*B7:E10</f>
        <v>1</v>
      </c>
      <c r="G13" s="7">
        <v>1</v>
      </c>
      <c r="H13" s="7">
        <v>1</v>
      </c>
      <c r="I13" s="4">
        <v>1</v>
      </c>
      <c r="L13" s="3">
        <f t="array" ref="L13:S20">2*(L3:S10)-(U3:AB10)</f>
        <v>-0.75</v>
      </c>
      <c r="M13" s="7">
        <v>0.25</v>
      </c>
      <c r="N13" s="7">
        <v>0.25</v>
      </c>
      <c r="O13" s="7">
        <v>0.25</v>
      </c>
      <c r="P13" s="7">
        <v>0.25</v>
      </c>
      <c r="Q13" s="7">
        <v>0.25</v>
      </c>
      <c r="R13" s="7">
        <v>0.25</v>
      </c>
      <c r="S13" s="4">
        <v>0.25</v>
      </c>
      <c r="U13" s="3">
        <f t="array" ref="U13:AB20">G7*L13:S20</f>
        <v>-0.75</v>
      </c>
      <c r="V13" s="7">
        <v>0.25</v>
      </c>
      <c r="W13" s="7">
        <v>0.25</v>
      </c>
      <c r="X13" s="7">
        <v>0.25</v>
      </c>
      <c r="Y13" s="7">
        <v>0.25</v>
      </c>
      <c r="Z13" s="7">
        <v>0.25</v>
      </c>
      <c r="AA13" s="7">
        <v>0.25</v>
      </c>
      <c r="AB13" s="7">
        <v>0.25</v>
      </c>
      <c r="AC13" s="7">
        <f t="array" ref="AC13:AJ20">H7*L13:S20</f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4">
        <v>0</v>
      </c>
    </row>
    <row r="14" spans="2:36" x14ac:dyDescent="0.3">
      <c r="B14" s="8">
        <v>1</v>
      </c>
      <c r="C14">
        <v>-1</v>
      </c>
      <c r="D14">
        <v>1</v>
      </c>
      <c r="E14">
        <v>-1</v>
      </c>
      <c r="F14">
        <v>1</v>
      </c>
      <c r="G14">
        <v>-1</v>
      </c>
      <c r="H14">
        <v>1</v>
      </c>
      <c r="I14" s="9">
        <v>-1</v>
      </c>
      <c r="L14" s="8">
        <v>0.25</v>
      </c>
      <c r="M14">
        <v>-0.75</v>
      </c>
      <c r="N14">
        <v>0.25</v>
      </c>
      <c r="O14">
        <v>0.25</v>
      </c>
      <c r="P14">
        <v>0.25</v>
      </c>
      <c r="Q14">
        <v>0.25</v>
      </c>
      <c r="R14">
        <v>0.25</v>
      </c>
      <c r="S14" s="9">
        <v>0.25</v>
      </c>
      <c r="U14" s="8">
        <v>0.25</v>
      </c>
      <c r="V14">
        <v>-0.75</v>
      </c>
      <c r="W14">
        <v>0.25</v>
      </c>
      <c r="X14">
        <v>0.25</v>
      </c>
      <c r="Y14">
        <v>0.25</v>
      </c>
      <c r="Z14">
        <v>0.25</v>
      </c>
      <c r="AA14">
        <v>0.25</v>
      </c>
      <c r="AB14">
        <v>0.25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s="9">
        <v>0</v>
      </c>
    </row>
    <row r="15" spans="2:36" x14ac:dyDescent="0.3">
      <c r="B15" s="8">
        <v>1</v>
      </c>
      <c r="C15">
        <v>1</v>
      </c>
      <c r="D15">
        <v>-1</v>
      </c>
      <c r="E15">
        <v>-1</v>
      </c>
      <c r="F15">
        <v>1</v>
      </c>
      <c r="G15">
        <v>1</v>
      </c>
      <c r="H15">
        <v>-1</v>
      </c>
      <c r="I15" s="9">
        <v>-1</v>
      </c>
      <c r="L15" s="8">
        <v>0.25</v>
      </c>
      <c r="M15">
        <v>0.25</v>
      </c>
      <c r="N15">
        <v>-0.75</v>
      </c>
      <c r="O15">
        <v>0.25</v>
      </c>
      <c r="P15">
        <v>0.25</v>
      </c>
      <c r="Q15">
        <v>0.25</v>
      </c>
      <c r="R15">
        <v>0.25</v>
      </c>
      <c r="S15" s="9">
        <v>0.25</v>
      </c>
      <c r="U15" s="8">
        <v>0.25</v>
      </c>
      <c r="V15">
        <v>0.25</v>
      </c>
      <c r="W15">
        <v>-0.75</v>
      </c>
      <c r="X15">
        <v>0.25</v>
      </c>
      <c r="Y15">
        <v>0.25</v>
      </c>
      <c r="Z15">
        <v>0.25</v>
      </c>
      <c r="AA15">
        <v>0.25</v>
      </c>
      <c r="AB15">
        <v>0.25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s="9">
        <v>0</v>
      </c>
    </row>
    <row r="16" spans="2:36" x14ac:dyDescent="0.3">
      <c r="B16" s="8">
        <v>1</v>
      </c>
      <c r="C16">
        <v>-1</v>
      </c>
      <c r="D16">
        <v>-1</v>
      </c>
      <c r="E16">
        <v>1</v>
      </c>
      <c r="F16">
        <v>1</v>
      </c>
      <c r="G16">
        <v>-1</v>
      </c>
      <c r="H16">
        <v>-1</v>
      </c>
      <c r="I16" s="9">
        <v>1</v>
      </c>
      <c r="L16" s="8">
        <v>0.25</v>
      </c>
      <c r="M16">
        <v>0.25</v>
      </c>
      <c r="N16">
        <v>0.25</v>
      </c>
      <c r="O16">
        <v>-0.75</v>
      </c>
      <c r="P16">
        <v>0.25</v>
      </c>
      <c r="Q16">
        <v>0.25</v>
      </c>
      <c r="R16">
        <v>0.25</v>
      </c>
      <c r="S16" s="9">
        <v>0.25</v>
      </c>
      <c r="U16" s="8">
        <v>0.25</v>
      </c>
      <c r="V16">
        <v>0.25</v>
      </c>
      <c r="W16">
        <v>0.25</v>
      </c>
      <c r="X16">
        <v>-0.75</v>
      </c>
      <c r="Y16">
        <v>0.25</v>
      </c>
      <c r="Z16">
        <v>0.25</v>
      </c>
      <c r="AA16">
        <v>0.25</v>
      </c>
      <c r="AB16">
        <v>0.25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s="9">
        <v>0</v>
      </c>
    </row>
    <row r="17" spans="1:36" x14ac:dyDescent="0.3">
      <c r="B17" s="8">
        <f t="array" ref="B17:E20">B4*B7:E10</f>
        <v>1</v>
      </c>
      <c r="C17">
        <v>1</v>
      </c>
      <c r="D17">
        <v>1</v>
      </c>
      <c r="E17">
        <v>1</v>
      </c>
      <c r="F17">
        <f t="array" ref="F17:I20">C4*B7:E10</f>
        <v>-1</v>
      </c>
      <c r="G17">
        <v>-1</v>
      </c>
      <c r="H17">
        <v>-1</v>
      </c>
      <c r="I17" s="9">
        <v>-1</v>
      </c>
      <c r="L17" s="8">
        <v>0.25</v>
      </c>
      <c r="M17">
        <v>0.25</v>
      </c>
      <c r="N17">
        <v>0.25</v>
      </c>
      <c r="O17">
        <v>0.25</v>
      </c>
      <c r="P17">
        <v>-0.75</v>
      </c>
      <c r="Q17">
        <v>0.25</v>
      </c>
      <c r="R17">
        <v>0.25</v>
      </c>
      <c r="S17" s="9">
        <v>0.25</v>
      </c>
      <c r="U17" s="8">
        <v>0.25</v>
      </c>
      <c r="V17">
        <v>0.25</v>
      </c>
      <c r="W17">
        <v>0.25</v>
      </c>
      <c r="X17">
        <v>0.25</v>
      </c>
      <c r="Y17">
        <v>-0.75</v>
      </c>
      <c r="Z17">
        <v>0.25</v>
      </c>
      <c r="AA17">
        <v>0.25</v>
      </c>
      <c r="AB17">
        <v>0.25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s="9">
        <v>0</v>
      </c>
    </row>
    <row r="18" spans="1:36" x14ac:dyDescent="0.3">
      <c r="B18" s="8">
        <v>1</v>
      </c>
      <c r="C18">
        <v>-1</v>
      </c>
      <c r="D18">
        <v>1</v>
      </c>
      <c r="E18">
        <v>-1</v>
      </c>
      <c r="F18">
        <v>-1</v>
      </c>
      <c r="G18">
        <v>1</v>
      </c>
      <c r="H18">
        <v>-1</v>
      </c>
      <c r="I18" s="9">
        <v>1</v>
      </c>
      <c r="L18" s="8">
        <v>0.25</v>
      </c>
      <c r="M18">
        <v>0.25</v>
      </c>
      <c r="N18">
        <v>0.25</v>
      </c>
      <c r="O18">
        <v>0.25</v>
      </c>
      <c r="P18">
        <v>0.25</v>
      </c>
      <c r="Q18">
        <v>-0.75</v>
      </c>
      <c r="R18">
        <v>0.25</v>
      </c>
      <c r="S18" s="9">
        <v>0.25</v>
      </c>
      <c r="U18" s="8">
        <v>0.25</v>
      </c>
      <c r="V18">
        <v>0.25</v>
      </c>
      <c r="W18">
        <v>0.25</v>
      </c>
      <c r="X18">
        <v>0.25</v>
      </c>
      <c r="Y18">
        <v>0.25</v>
      </c>
      <c r="Z18">
        <v>-0.75</v>
      </c>
      <c r="AA18">
        <v>0.25</v>
      </c>
      <c r="AB18">
        <v>0.25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s="9">
        <v>0</v>
      </c>
    </row>
    <row r="19" spans="1:36" x14ac:dyDescent="0.3">
      <c r="B19" s="8">
        <v>1</v>
      </c>
      <c r="C19">
        <v>1</v>
      </c>
      <c r="D19">
        <v>-1</v>
      </c>
      <c r="E19">
        <v>-1</v>
      </c>
      <c r="F19">
        <v>-1</v>
      </c>
      <c r="G19">
        <v>-1</v>
      </c>
      <c r="H19">
        <v>1</v>
      </c>
      <c r="I19" s="9">
        <v>1</v>
      </c>
      <c r="L19" s="8">
        <v>0.25</v>
      </c>
      <c r="M19">
        <v>0.25</v>
      </c>
      <c r="N19">
        <v>0.25</v>
      </c>
      <c r="O19">
        <v>0.25</v>
      </c>
      <c r="P19">
        <v>0.25</v>
      </c>
      <c r="Q19">
        <v>0.25</v>
      </c>
      <c r="R19">
        <v>-0.75</v>
      </c>
      <c r="S19" s="9">
        <v>0.25</v>
      </c>
      <c r="U19" s="8">
        <v>0.25</v>
      </c>
      <c r="V19">
        <v>0.25</v>
      </c>
      <c r="W19">
        <v>0.25</v>
      </c>
      <c r="X19">
        <v>0.25</v>
      </c>
      <c r="Y19">
        <v>0.25</v>
      </c>
      <c r="Z19">
        <v>0.25</v>
      </c>
      <c r="AA19">
        <v>-0.75</v>
      </c>
      <c r="AB19">
        <v>0.25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s="9">
        <v>0</v>
      </c>
    </row>
    <row r="20" spans="1:36" ht="15" thickBot="1" x14ac:dyDescent="0.35">
      <c r="B20" s="5">
        <v>1</v>
      </c>
      <c r="C20" s="10">
        <v>-1</v>
      </c>
      <c r="D20" s="10">
        <v>-1</v>
      </c>
      <c r="E20" s="10">
        <v>1</v>
      </c>
      <c r="F20" s="10">
        <v>-1</v>
      </c>
      <c r="G20" s="10">
        <v>1</v>
      </c>
      <c r="H20" s="10">
        <v>1</v>
      </c>
      <c r="I20" s="6">
        <v>-1</v>
      </c>
      <c r="L20" s="5">
        <v>0.25</v>
      </c>
      <c r="M20" s="10">
        <v>0.25</v>
      </c>
      <c r="N20" s="10">
        <v>0.25</v>
      </c>
      <c r="O20" s="10">
        <v>0.25</v>
      </c>
      <c r="P20" s="10">
        <v>0.25</v>
      </c>
      <c r="Q20" s="10">
        <v>0.25</v>
      </c>
      <c r="R20" s="10">
        <v>0.25</v>
      </c>
      <c r="S20" s="6">
        <v>-0.75</v>
      </c>
      <c r="U20" s="8">
        <v>0.25</v>
      </c>
      <c r="V20">
        <v>0.25</v>
      </c>
      <c r="W20">
        <v>0.25</v>
      </c>
      <c r="X20">
        <v>0.25</v>
      </c>
      <c r="Y20">
        <v>0.25</v>
      </c>
      <c r="Z20">
        <v>0.25</v>
      </c>
      <c r="AA20">
        <v>0.25</v>
      </c>
      <c r="AB20">
        <v>-0.75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s="9">
        <v>0</v>
      </c>
    </row>
    <row r="21" spans="1:36" x14ac:dyDescent="0.3">
      <c r="U21" s="8">
        <f t="array" ref="U21:AB28">G8*L13:S20</f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f t="array" ref="AC21:AJ28">H8*L13:S20</f>
        <v>-0.75</v>
      </c>
      <c r="AD21">
        <v>0.25</v>
      </c>
      <c r="AE21">
        <v>0.25</v>
      </c>
      <c r="AF21">
        <v>0.25</v>
      </c>
      <c r="AG21">
        <v>0.25</v>
      </c>
      <c r="AH21">
        <v>0.25</v>
      </c>
      <c r="AI21">
        <v>0.25</v>
      </c>
      <c r="AJ21" s="9">
        <v>0.25</v>
      </c>
    </row>
    <row r="22" spans="1:36" x14ac:dyDescent="0.3">
      <c r="B22" s="2" t="s">
        <v>53</v>
      </c>
      <c r="J22" t="s">
        <v>43</v>
      </c>
      <c r="U22" s="8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0.25</v>
      </c>
      <c r="AD22">
        <v>-0.75</v>
      </c>
      <c r="AE22">
        <v>0.25</v>
      </c>
      <c r="AF22">
        <v>0.25</v>
      </c>
      <c r="AG22">
        <v>0.25</v>
      </c>
      <c r="AH22">
        <v>0.25</v>
      </c>
      <c r="AI22">
        <v>0.25</v>
      </c>
      <c r="AJ22" s="9">
        <v>0.25</v>
      </c>
    </row>
    <row r="23" spans="1:36" x14ac:dyDescent="0.3">
      <c r="B23" t="s">
        <v>42</v>
      </c>
      <c r="J23" t="s">
        <v>41</v>
      </c>
      <c r="U23" s="8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0.25</v>
      </c>
      <c r="AD23">
        <v>0.25</v>
      </c>
      <c r="AE23">
        <v>-0.75</v>
      </c>
      <c r="AF23">
        <v>0.25</v>
      </c>
      <c r="AG23">
        <v>0.25</v>
      </c>
      <c r="AH23">
        <v>0.25</v>
      </c>
      <c r="AI23">
        <v>0.25</v>
      </c>
      <c r="AJ23" s="9">
        <v>0.25</v>
      </c>
    </row>
    <row r="24" spans="1:36" ht="16.8" x14ac:dyDescent="0.35">
      <c r="B24" t="s">
        <v>45</v>
      </c>
      <c r="H24" t="s">
        <v>54</v>
      </c>
      <c r="U24" s="8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0.25</v>
      </c>
      <c r="AD24">
        <v>0.25</v>
      </c>
      <c r="AE24">
        <v>0.25</v>
      </c>
      <c r="AF24">
        <v>-0.75</v>
      </c>
      <c r="AG24">
        <v>0.25</v>
      </c>
      <c r="AH24">
        <v>0.25</v>
      </c>
      <c r="AI24">
        <v>0.25</v>
      </c>
      <c r="AJ24" s="9">
        <v>0.25</v>
      </c>
    </row>
    <row r="25" spans="1:36" ht="15.6" x14ac:dyDescent="0.35">
      <c r="E25" t="s">
        <v>44</v>
      </c>
      <c r="U25" s="8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0.25</v>
      </c>
      <c r="AD25">
        <v>0.25</v>
      </c>
      <c r="AE25">
        <v>0.25</v>
      </c>
      <c r="AF25">
        <v>0.25</v>
      </c>
      <c r="AG25">
        <v>-0.75</v>
      </c>
      <c r="AH25">
        <v>0.25</v>
      </c>
      <c r="AI25">
        <v>0.25</v>
      </c>
      <c r="AJ25" s="9">
        <v>0.25</v>
      </c>
    </row>
    <row r="26" spans="1:36" x14ac:dyDescent="0.3">
      <c r="U26" s="8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0.25</v>
      </c>
      <c r="AD26">
        <v>0.25</v>
      </c>
      <c r="AE26">
        <v>0.25</v>
      </c>
      <c r="AF26">
        <v>0.25</v>
      </c>
      <c r="AG26">
        <v>0.25</v>
      </c>
      <c r="AH26">
        <v>-0.75</v>
      </c>
      <c r="AI26">
        <v>0.25</v>
      </c>
      <c r="AJ26" s="9">
        <v>0.25</v>
      </c>
    </row>
    <row r="27" spans="1:36" ht="15" thickBot="1" x14ac:dyDescent="0.35">
      <c r="B27" t="s">
        <v>3</v>
      </c>
      <c r="C27" t="s">
        <v>4</v>
      </c>
      <c r="D27" t="s">
        <v>5</v>
      </c>
      <c r="E27" t="s">
        <v>6</v>
      </c>
      <c r="F27" s="12" t="s">
        <v>7</v>
      </c>
      <c r="G27" s="1" t="s">
        <v>12</v>
      </c>
      <c r="H27" s="1" t="s">
        <v>13</v>
      </c>
      <c r="I27" s="1" t="s">
        <v>14</v>
      </c>
      <c r="J27" s="11" t="s">
        <v>8</v>
      </c>
      <c r="K27" s="11" t="s">
        <v>9</v>
      </c>
      <c r="L27" s="1" t="s">
        <v>10</v>
      </c>
      <c r="M27" s="1" t="s">
        <v>15</v>
      </c>
      <c r="N27" s="15" t="s">
        <v>16</v>
      </c>
      <c r="O27" s="1" t="s">
        <v>17</v>
      </c>
      <c r="P27" s="1" t="s">
        <v>18</v>
      </c>
      <c r="Q27" s="1" t="s">
        <v>19</v>
      </c>
      <c r="U27" s="8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0.25</v>
      </c>
      <c r="AD27">
        <v>0.25</v>
      </c>
      <c r="AE27">
        <v>0.25</v>
      </c>
      <c r="AF27">
        <v>0.25</v>
      </c>
      <c r="AG27">
        <v>0.25</v>
      </c>
      <c r="AH27">
        <v>0.25</v>
      </c>
      <c r="AI27">
        <v>-0.75</v>
      </c>
      <c r="AJ27" s="9">
        <v>0.25</v>
      </c>
    </row>
    <row r="28" spans="1:36" ht="15" thickBot="1" x14ac:dyDescent="0.35">
      <c r="A28" t="str">
        <f t="array" ref="A28:A43">TRANSPOSE(B27:Q27)</f>
        <v>0.000</v>
      </c>
      <c r="B28" s="3">
        <v>1</v>
      </c>
      <c r="C28" s="7">
        <v>0</v>
      </c>
      <c r="D28" s="7">
        <v>0</v>
      </c>
      <c r="E28" s="7">
        <v>0</v>
      </c>
      <c r="F28" s="13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13">
        <v>0</v>
      </c>
      <c r="O28" s="7">
        <v>0</v>
      </c>
      <c r="P28" s="7">
        <v>0</v>
      </c>
      <c r="Q28" s="4">
        <v>0</v>
      </c>
      <c r="U28" s="5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0.25</v>
      </c>
      <c r="AD28" s="10">
        <v>0.25</v>
      </c>
      <c r="AE28" s="10">
        <v>0.25</v>
      </c>
      <c r="AF28" s="10">
        <v>0.25</v>
      </c>
      <c r="AG28" s="10">
        <v>0.25</v>
      </c>
      <c r="AH28" s="10">
        <v>0.25</v>
      </c>
      <c r="AI28" s="10">
        <v>0.25</v>
      </c>
      <c r="AJ28" s="6">
        <v>-0.75</v>
      </c>
    </row>
    <row r="29" spans="1:36" x14ac:dyDescent="0.3">
      <c r="A29" t="str">
        <v>0.001</v>
      </c>
      <c r="B29" s="8">
        <v>0</v>
      </c>
      <c r="C29">
        <v>1</v>
      </c>
      <c r="D29">
        <v>0</v>
      </c>
      <c r="E29">
        <v>0</v>
      </c>
      <c r="F29" s="2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2">
        <v>0</v>
      </c>
      <c r="O29">
        <v>0</v>
      </c>
      <c r="P29">
        <v>0</v>
      </c>
      <c r="Q29" s="9">
        <v>0</v>
      </c>
    </row>
    <row r="30" spans="1:36" x14ac:dyDescent="0.3">
      <c r="A30" t="str">
        <v>0.010</v>
      </c>
      <c r="B30" s="8">
        <v>0</v>
      </c>
      <c r="C30">
        <v>0</v>
      </c>
      <c r="D30">
        <v>1</v>
      </c>
      <c r="E30">
        <v>0</v>
      </c>
      <c r="F30" s="2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s="2">
        <v>0</v>
      </c>
      <c r="O30">
        <v>0</v>
      </c>
      <c r="P30">
        <v>0</v>
      </c>
      <c r="Q30" s="9">
        <v>0</v>
      </c>
    </row>
    <row r="31" spans="1:36" ht="15" thickBot="1" x14ac:dyDescent="0.35">
      <c r="A31" t="str">
        <v>0.011</v>
      </c>
      <c r="B31" s="8">
        <v>0</v>
      </c>
      <c r="C31">
        <v>0</v>
      </c>
      <c r="D31">
        <v>0</v>
      </c>
      <c r="E31">
        <v>1</v>
      </c>
      <c r="F31" s="2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s="2">
        <v>0</v>
      </c>
      <c r="O31">
        <v>0</v>
      </c>
      <c r="P31">
        <v>0</v>
      </c>
      <c r="Q31" s="9">
        <v>0</v>
      </c>
      <c r="U31" s="2" t="s">
        <v>55</v>
      </c>
    </row>
    <row r="32" spans="1:36" x14ac:dyDescent="0.3">
      <c r="A32" t="str">
        <v>0.100</v>
      </c>
      <c r="B32" s="8">
        <v>0</v>
      </c>
      <c r="C32">
        <v>0</v>
      </c>
      <c r="D32">
        <v>0</v>
      </c>
      <c r="E32">
        <v>0</v>
      </c>
      <c r="F32" s="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s="2">
        <v>1</v>
      </c>
      <c r="O32">
        <v>0</v>
      </c>
      <c r="P32">
        <v>0</v>
      </c>
      <c r="Q32" s="9">
        <v>0</v>
      </c>
      <c r="U32" s="42" t="s">
        <v>56</v>
      </c>
      <c r="V32" s="43" t="s">
        <v>57</v>
      </c>
      <c r="W32" s="44" t="s">
        <v>58</v>
      </c>
    </row>
    <row r="33" spans="1:23" x14ac:dyDescent="0.3">
      <c r="A33" t="str">
        <v>0.101</v>
      </c>
      <c r="B33" s="8">
        <v>0</v>
      </c>
      <c r="C33">
        <v>0</v>
      </c>
      <c r="D33">
        <v>0</v>
      </c>
      <c r="E33">
        <v>0</v>
      </c>
      <c r="F33" s="2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s="2">
        <v>0</v>
      </c>
      <c r="O33">
        <v>0</v>
      </c>
      <c r="P33">
        <v>0</v>
      </c>
      <c r="Q33" s="9">
        <v>0</v>
      </c>
      <c r="U33" s="45" t="s">
        <v>20</v>
      </c>
      <c r="V33" s="46">
        <v>0</v>
      </c>
      <c r="W33" s="47" t="s">
        <v>59</v>
      </c>
    </row>
    <row r="34" spans="1:23" x14ac:dyDescent="0.3">
      <c r="A34" t="str">
        <v>0.110</v>
      </c>
      <c r="B34" s="8">
        <v>0</v>
      </c>
      <c r="C34">
        <v>0</v>
      </c>
      <c r="D34">
        <v>0</v>
      </c>
      <c r="E34">
        <v>0</v>
      </c>
      <c r="F34" s="2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 s="2">
        <v>0</v>
      </c>
      <c r="O34">
        <v>0</v>
      </c>
      <c r="P34">
        <v>0</v>
      </c>
      <c r="Q34" s="9">
        <v>0</v>
      </c>
      <c r="U34" s="45" t="s">
        <v>21</v>
      </c>
      <c r="V34" s="46">
        <v>0</v>
      </c>
      <c r="W34" s="47" t="s">
        <v>60</v>
      </c>
    </row>
    <row r="35" spans="1:23" x14ac:dyDescent="0.3">
      <c r="A35" t="str">
        <v>0.111</v>
      </c>
      <c r="B35" s="8">
        <v>0</v>
      </c>
      <c r="C35">
        <v>0</v>
      </c>
      <c r="D35">
        <v>0</v>
      </c>
      <c r="E35">
        <v>0</v>
      </c>
      <c r="F35" s="2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 s="2">
        <v>0</v>
      </c>
      <c r="O35">
        <v>0</v>
      </c>
      <c r="P35">
        <v>0</v>
      </c>
      <c r="Q35" s="9">
        <v>0</v>
      </c>
      <c r="U35" s="45" t="s">
        <v>22</v>
      </c>
      <c r="V35" s="46">
        <v>0</v>
      </c>
      <c r="W35" s="47" t="s">
        <v>61</v>
      </c>
    </row>
    <row r="36" spans="1:23" x14ac:dyDescent="0.3">
      <c r="A36" t="str">
        <v>1.000</v>
      </c>
      <c r="B36" s="8">
        <v>0</v>
      </c>
      <c r="C36">
        <v>0</v>
      </c>
      <c r="D36">
        <v>0</v>
      </c>
      <c r="E36">
        <v>0</v>
      </c>
      <c r="F36" s="2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 s="2">
        <v>0</v>
      </c>
      <c r="O36">
        <v>0</v>
      </c>
      <c r="P36">
        <v>0</v>
      </c>
      <c r="Q36" s="9">
        <v>0</v>
      </c>
      <c r="U36" s="45" t="s">
        <v>23</v>
      </c>
      <c r="V36" s="46">
        <v>0</v>
      </c>
      <c r="W36" s="47" t="s">
        <v>62</v>
      </c>
    </row>
    <row r="37" spans="1:23" x14ac:dyDescent="0.3">
      <c r="A37" t="str">
        <v>1.001</v>
      </c>
      <c r="B37" s="8">
        <v>0</v>
      </c>
      <c r="C37">
        <v>0</v>
      </c>
      <c r="D37">
        <v>0</v>
      </c>
      <c r="E37">
        <v>0</v>
      </c>
      <c r="F37" s="2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 s="2">
        <v>0</v>
      </c>
      <c r="O37">
        <v>0</v>
      </c>
      <c r="P37">
        <v>0</v>
      </c>
      <c r="Q37" s="9">
        <v>0</v>
      </c>
      <c r="U37" s="45" t="s">
        <v>24</v>
      </c>
      <c r="V37" s="46">
        <v>1</v>
      </c>
      <c r="W37" s="47" t="s">
        <v>63</v>
      </c>
    </row>
    <row r="38" spans="1:23" x14ac:dyDescent="0.3">
      <c r="A38" t="str">
        <v>1.010</v>
      </c>
      <c r="B38" s="8">
        <v>0</v>
      </c>
      <c r="C38">
        <v>0</v>
      </c>
      <c r="D38">
        <v>0</v>
      </c>
      <c r="E38">
        <v>0</v>
      </c>
      <c r="F38" s="2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 s="2">
        <v>0</v>
      </c>
      <c r="O38">
        <v>0</v>
      </c>
      <c r="P38">
        <v>0</v>
      </c>
      <c r="Q38" s="9">
        <v>0</v>
      </c>
      <c r="U38" s="45" t="s">
        <v>25</v>
      </c>
      <c r="V38" s="46">
        <v>0</v>
      </c>
      <c r="W38" s="47" t="s">
        <v>64</v>
      </c>
    </row>
    <row r="39" spans="1:23" x14ac:dyDescent="0.3">
      <c r="A39" t="str">
        <v>1.011</v>
      </c>
      <c r="B39" s="8">
        <v>0</v>
      </c>
      <c r="C39">
        <v>0</v>
      </c>
      <c r="D39">
        <v>0</v>
      </c>
      <c r="E39">
        <v>0</v>
      </c>
      <c r="F39" s="2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 s="2">
        <v>0</v>
      </c>
      <c r="O39">
        <v>0</v>
      </c>
      <c r="P39">
        <v>0</v>
      </c>
      <c r="Q39" s="9">
        <v>0</v>
      </c>
      <c r="U39" s="45" t="s">
        <v>26</v>
      </c>
      <c r="V39" s="46">
        <v>0</v>
      </c>
      <c r="W39" s="47" t="s">
        <v>65</v>
      </c>
    </row>
    <row r="40" spans="1:23" ht="15" thickBot="1" x14ac:dyDescent="0.35">
      <c r="A40" t="str">
        <v>1.100</v>
      </c>
      <c r="B40" s="8">
        <v>0</v>
      </c>
      <c r="C40">
        <v>0</v>
      </c>
      <c r="D40">
        <v>0</v>
      </c>
      <c r="E40">
        <v>0</v>
      </c>
      <c r="F40" s="2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s="2">
        <v>0</v>
      </c>
      <c r="O40">
        <v>0</v>
      </c>
      <c r="P40">
        <v>0</v>
      </c>
      <c r="Q40" s="9">
        <v>0</v>
      </c>
      <c r="U40" s="48" t="s">
        <v>27</v>
      </c>
      <c r="V40" s="49">
        <v>0</v>
      </c>
      <c r="W40" s="50" t="s">
        <v>66</v>
      </c>
    </row>
    <row r="41" spans="1:23" x14ac:dyDescent="0.3">
      <c r="A41" t="str">
        <v>1.101</v>
      </c>
      <c r="B41" s="8">
        <v>0</v>
      </c>
      <c r="C41">
        <v>0</v>
      </c>
      <c r="D41">
        <v>0</v>
      </c>
      <c r="E41">
        <v>0</v>
      </c>
      <c r="F41" s="2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s="2">
        <v>0</v>
      </c>
      <c r="O41">
        <v>1</v>
      </c>
      <c r="P41">
        <v>0</v>
      </c>
      <c r="Q41" s="9">
        <v>0</v>
      </c>
    </row>
    <row r="42" spans="1:23" x14ac:dyDescent="0.3">
      <c r="A42" t="str">
        <v>1.110</v>
      </c>
      <c r="B42" s="8">
        <v>0</v>
      </c>
      <c r="C42">
        <v>0</v>
      </c>
      <c r="D42">
        <v>0</v>
      </c>
      <c r="E42">
        <v>0</v>
      </c>
      <c r="F42" s="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s="2">
        <v>0</v>
      </c>
      <c r="O42">
        <v>0</v>
      </c>
      <c r="P42">
        <v>1</v>
      </c>
      <c r="Q42" s="9">
        <v>0</v>
      </c>
    </row>
    <row r="43" spans="1:23" ht="15" thickBot="1" x14ac:dyDescent="0.35">
      <c r="A43" t="str">
        <v>1.111</v>
      </c>
      <c r="B43" s="5">
        <v>0</v>
      </c>
      <c r="C43" s="10">
        <v>0</v>
      </c>
      <c r="D43" s="10">
        <v>0</v>
      </c>
      <c r="E43" s="10">
        <v>0</v>
      </c>
      <c r="F43" s="14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4">
        <v>0</v>
      </c>
      <c r="O43" s="10">
        <v>0</v>
      </c>
      <c r="P43" s="10">
        <v>0</v>
      </c>
      <c r="Q43" s="6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E1</vt:lpstr>
      <vt:lpstr>Matrizes</vt:lpstr>
      <vt:lpstr>H1_</vt:lpstr>
      <vt:lpstr>H2_</vt:lpstr>
      <vt:lpstr>H3_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Mirapalheta</dc:creator>
  <cp:lastModifiedBy>gustavo</cp:lastModifiedBy>
  <dcterms:created xsi:type="dcterms:W3CDTF">2025-04-09T17:13:54Z</dcterms:created>
  <dcterms:modified xsi:type="dcterms:W3CDTF">2025-04-14T02:09:19Z</dcterms:modified>
</cp:coreProperties>
</file>