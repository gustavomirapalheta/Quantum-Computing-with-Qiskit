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Y:\Colab Notebooks\2.quantum\"/>
    </mc:Choice>
  </mc:AlternateContent>
  <bookViews>
    <workbookView xWindow="0" yWindow="0" windowWidth="28800" windowHeight="13620" activeTab="1"/>
  </bookViews>
  <sheets>
    <sheet name="Planilha1" sheetId="1" r:id="rId1"/>
    <sheet name="Planilha3" sheetId="3" r:id="rId2"/>
    <sheet name="Planilha2" sheetId="2" r:id="rId3"/>
  </sheets>
  <functionGroups builtInGroupCount="18"/>
  <definedNames>
    <definedName name="dados_">Planilha1!$D$3:$K$3</definedName>
    <definedName name="e0_">Planilha1!$D$10:$K$10</definedName>
    <definedName name="e1_">Planilha1!$D$13:$K$13</definedName>
    <definedName name="e2_">Planilha1!$D$23:$K$23</definedName>
    <definedName name="e3_">Planilha1!$D$26:$K$26</definedName>
    <definedName name="e4_">Planilha1!$D$36:$K$36</definedName>
    <definedName name="e5_">Planilha1!$D$39:$K$39</definedName>
    <definedName name="H1_">Planilha2!$C$2:$D$3</definedName>
    <definedName name="H2_">Planilha2!$C$5:$F$8</definedName>
    <definedName name="H3_">Planilha2!$C$10:$J$17</definedName>
    <definedName name="q3_">Planilha2!$C$19:$D$19</definedName>
    <definedName name="q3H1_">Planilha2!$C$21:$D$21</definedName>
    <definedName name="q3H1_x_e1_">Planilha2!$C$29:$R$29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" l="1"/>
  <c r="D10" i="3"/>
  <c r="B10" i="3"/>
  <c r="B9" i="3"/>
  <c r="C9" i="3"/>
  <c r="D9" i="3"/>
  <c r="B8" i="3"/>
  <c r="C8" i="3"/>
  <c r="D8" i="3"/>
  <c r="B7" i="3"/>
  <c r="C7" i="3"/>
  <c r="D7" i="3"/>
  <c r="B6" i="3"/>
  <c r="C6" i="3"/>
  <c r="D6" i="3"/>
  <c r="B5" i="3"/>
  <c r="C5" i="3"/>
  <c r="D5" i="3"/>
  <c r="D4" i="3"/>
  <c r="C4" i="3"/>
  <c r="B4" i="3"/>
  <c r="C32" i="2" a="1"/>
  <c r="C32" i="2"/>
  <c r="D32" i="2"/>
  <c r="E32" i="2"/>
  <c r="F32" i="2"/>
  <c r="G32" i="2"/>
  <c r="H32" i="2"/>
  <c r="I32" i="2"/>
  <c r="J32" i="2"/>
  <c r="D31" i="2"/>
  <c r="E31" i="2"/>
  <c r="F31" i="2"/>
  <c r="G31" i="2"/>
  <c r="H31" i="2"/>
  <c r="I31" i="2"/>
  <c r="J31" i="2"/>
  <c r="C31" i="2"/>
  <c r="D13" i="1" a="1"/>
  <c r="D13" i="1"/>
  <c r="E13" i="1"/>
  <c r="F13" i="1"/>
  <c r="G13" i="1"/>
  <c r="H13" i="1"/>
  <c r="I13" i="1"/>
  <c r="J13" i="1"/>
  <c r="K13" i="1"/>
  <c r="C35" i="2" a="1"/>
  <c r="C29" i="2" a="1"/>
  <c r="D23" i="1" a="1"/>
  <c r="C26" i="2" l="1" a="1"/>
  <c r="C26" i="2"/>
  <c r="D26" i="2"/>
  <c r="E26" i="2"/>
  <c r="F26" i="2"/>
  <c r="G26" i="2"/>
  <c r="H26" i="2"/>
  <c r="I26" i="2"/>
  <c r="J26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D23" i="1"/>
  <c r="E23" i="1"/>
  <c r="F23" i="1"/>
  <c r="G23" i="1"/>
  <c r="H23" i="1"/>
  <c r="I23" i="1"/>
  <c r="J23" i="1"/>
  <c r="K23" i="1"/>
  <c r="L28" i="2"/>
  <c r="M28" i="2"/>
  <c r="N28" i="2"/>
  <c r="O28" i="2"/>
  <c r="P28" i="2"/>
  <c r="Q28" i="2"/>
  <c r="R28" i="2"/>
  <c r="K28" i="2"/>
  <c r="D28" i="2"/>
  <c r="E28" i="2"/>
  <c r="F28" i="2"/>
  <c r="G28" i="2"/>
  <c r="H28" i="2"/>
  <c r="I28" i="2"/>
  <c r="J28" i="2"/>
  <c r="C28" i="2"/>
  <c r="B35" i="2" s="1" a="1"/>
  <c r="C21" i="2" a="1"/>
  <c r="C21" i="2"/>
  <c r="D21" i="2"/>
  <c r="C34" i="2" l="1" a="1"/>
  <c r="J34" i="2" s="1"/>
  <c r="C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E14" i="1" a="1"/>
  <c r="F14" i="1" a="1"/>
  <c r="G14" i="1" a="1"/>
  <c r="H14" i="1" a="1"/>
  <c r="I14" i="1" a="1"/>
  <c r="J14" i="1" a="1"/>
  <c r="F11" i="1" a="1"/>
  <c r="F11" i="1"/>
  <c r="G11" i="1" a="1"/>
  <c r="G11" i="1"/>
  <c r="H11" i="1" a="1"/>
  <c r="H11" i="1"/>
  <c r="I11" i="1" a="1"/>
  <c r="I11" i="1"/>
  <c r="J11" i="1" a="1"/>
  <c r="J11" i="1"/>
  <c r="K11" i="1" a="1"/>
  <c r="K11" i="1"/>
  <c r="E11" i="1" a="1"/>
  <c r="E11" i="1"/>
  <c r="B3" i="1"/>
  <c r="C5" i="2" a="1"/>
  <c r="L34" i="2" l="1"/>
  <c r="M34" i="2"/>
  <c r="N34" i="2"/>
  <c r="O34" i="2"/>
  <c r="P34" i="2"/>
  <c r="Q34" i="2"/>
  <c r="R34" i="2"/>
  <c r="K34" i="2"/>
  <c r="D34" i="2"/>
  <c r="E34" i="2"/>
  <c r="F34" i="2"/>
  <c r="G34" i="2"/>
  <c r="H34" i="2"/>
  <c r="I34" i="2"/>
  <c r="C5" i="2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10" i="2" a="1"/>
  <c r="C10" i="2" l="1"/>
  <c r="D10" i="2"/>
  <c r="E10" i="2"/>
  <c r="F10" i="2"/>
  <c r="G10" i="2"/>
  <c r="H10" i="2"/>
  <c r="I10" i="2"/>
  <c r="J10" i="2"/>
  <c r="C11" i="2"/>
  <c r="D11" i="2"/>
  <c r="E11" i="2"/>
  <c r="F11" i="2"/>
  <c r="G11" i="2"/>
  <c r="H11" i="2"/>
  <c r="I11" i="2"/>
  <c r="J11" i="2"/>
  <c r="C12" i="2"/>
  <c r="D12" i="2"/>
  <c r="E12" i="2"/>
  <c r="F12" i="2"/>
  <c r="G12" i="2"/>
  <c r="H12" i="2"/>
  <c r="I12" i="2"/>
  <c r="J12" i="2"/>
  <c r="C13" i="2"/>
  <c r="D13" i="2"/>
  <c r="E13" i="2"/>
  <c r="F13" i="2"/>
  <c r="G13" i="2"/>
  <c r="H13" i="2"/>
  <c r="I13" i="2"/>
  <c r="J13" i="2"/>
  <c r="C14" i="2"/>
  <c r="D14" i="2"/>
  <c r="E14" i="2"/>
  <c r="F14" i="2"/>
  <c r="G14" i="2"/>
  <c r="H14" i="2"/>
  <c r="I14" i="2"/>
  <c r="J14" i="2"/>
  <c r="C15" i="2"/>
  <c r="D15" i="2"/>
  <c r="E15" i="2"/>
  <c r="F15" i="2"/>
  <c r="G15" i="2"/>
  <c r="H15" i="2"/>
  <c r="I15" i="2"/>
  <c r="J15" i="2"/>
  <c r="C16" i="2"/>
  <c r="D16" i="2"/>
  <c r="E16" i="2"/>
  <c r="F16" i="2"/>
  <c r="G16" i="2"/>
  <c r="H16" i="2"/>
  <c r="I16" i="2"/>
  <c r="J16" i="2"/>
  <c r="C17" i="2"/>
  <c r="D17" i="2"/>
  <c r="E17" i="2"/>
  <c r="F17" i="2"/>
  <c r="G17" i="2"/>
  <c r="H17" i="2"/>
  <c r="I17" i="2"/>
  <c r="J17" i="2"/>
  <c r="K14" i="1" l="1" a="1"/>
  <c r="K14" i="1"/>
  <c r="J14" i="1"/>
  <c r="I14" i="1"/>
  <c r="H14" i="1"/>
  <c r="G14" i="1"/>
  <c r="F14" i="1"/>
  <c r="E14" i="1"/>
  <c r="M13" i="1" l="1"/>
  <c r="C52" i="2" a="1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D26" i="1" a="1"/>
  <c r="D26" i="1"/>
  <c r="E26" i="1"/>
  <c r="F26" i="1"/>
  <c r="G26" i="1"/>
  <c r="H26" i="1"/>
  <c r="I26" i="1"/>
  <c r="J26" i="1"/>
  <c r="K26" i="1"/>
  <c r="D36" i="1" a="1"/>
  <c r="K27" i="1" a="1"/>
  <c r="K27" i="1"/>
  <c r="J27" i="1" a="1"/>
  <c r="J27" i="1"/>
  <c r="I27" i="1" a="1"/>
  <c r="I27" i="1"/>
  <c r="H27" i="1" a="1"/>
  <c r="H27" i="1"/>
  <c r="G27" i="1" a="1"/>
  <c r="G27" i="1"/>
  <c r="F27" i="1" a="1"/>
  <c r="F27" i="1"/>
  <c r="E27" i="1" a="1"/>
  <c r="E27" i="1"/>
  <c r="M26" i="1"/>
  <c r="D36" i="1"/>
  <c r="E36" i="1"/>
  <c r="F36" i="1"/>
  <c r="G36" i="1"/>
  <c r="H36" i="1"/>
  <c r="I36" i="1"/>
  <c r="J36" i="1"/>
  <c r="K36" i="1"/>
  <c r="D39" i="1" a="1"/>
  <c r="D39" i="1"/>
  <c r="E39" i="1"/>
  <c r="F39" i="1"/>
  <c r="G39" i="1"/>
  <c r="H39" i="1"/>
  <c r="I39" i="1"/>
  <c r="J39" i="1"/>
  <c r="K39" i="1"/>
  <c r="E40" i="1" a="1"/>
  <c r="F40" i="1" a="1"/>
  <c r="G40" i="1" a="1"/>
  <c r="H40" i="1" a="1"/>
  <c r="I40" i="1" a="1"/>
  <c r="J40" i="1" a="1"/>
  <c r="K40" i="1" a="1"/>
  <c r="K40" i="1"/>
  <c r="J40" i="1"/>
  <c r="I40" i="1"/>
  <c r="H40" i="1"/>
  <c r="G40" i="1"/>
  <c r="M39" i="1"/>
  <c r="F40" i="1"/>
  <c r="E40" i="1"/>
</calcChain>
</file>

<file path=xl/comments1.xml><?xml version="1.0" encoding="utf-8"?>
<comments xmlns="http://schemas.openxmlformats.org/spreadsheetml/2006/main">
  <authors>
    <author>gustavo</author>
  </authors>
  <commentList>
    <comment ref="B23" authorId="0" shapeId="0">
      <text>
        <r>
          <rPr>
            <b/>
            <sz val="9"/>
            <color indexed="81"/>
            <rFont val="Segoe UI"/>
            <family val="2"/>
          </rPr>
          <t>gustavo:</t>
        </r>
        <r>
          <rPr>
            <sz val="9"/>
            <color indexed="81"/>
            <rFont val="Segoe UI"/>
            <family val="2"/>
          </rPr>
          <t xml:space="preserve">
Não esquecer do qubit auxiliar q3 x H1.
A operação é: 
q3H1 x BD(16x16) 
Aqui são apresentados os qubits q2,q1,q0</t>
        </r>
      </text>
    </comment>
    <comment ref="B36" authorId="0" shapeId="0">
      <text>
        <r>
          <rPr>
            <b/>
            <sz val="9"/>
            <color indexed="81"/>
            <rFont val="Segoe UI"/>
            <family val="2"/>
          </rPr>
          <t>gustavo:</t>
        </r>
        <r>
          <rPr>
            <sz val="9"/>
            <color indexed="81"/>
            <rFont val="Segoe UI"/>
            <family val="2"/>
          </rPr>
          <t xml:space="preserve">
Mesmas considerações de e2</t>
        </r>
      </text>
    </comment>
  </commentList>
</comments>
</file>

<file path=xl/sharedStrings.xml><?xml version="1.0" encoding="utf-8"?>
<sst xmlns="http://schemas.openxmlformats.org/spreadsheetml/2006/main" count="76" uniqueCount="64">
  <si>
    <t>Alice</t>
  </si>
  <si>
    <t>Carla</t>
  </si>
  <si>
    <t>Inácio</t>
  </si>
  <si>
    <t>Bern.</t>
  </si>
  <si>
    <t>Edu</t>
  </si>
  <si>
    <t>Fern.</t>
  </si>
  <si>
    <t>Gust.</t>
  </si>
  <si>
    <t>Helia</t>
  </si>
  <si>
    <t>Tentat.</t>
  </si>
  <si>
    <t>Resp.:</t>
  </si>
  <si>
    <t>Vamos pedir ajuda para o "Além Mundo"</t>
  </si>
  <si>
    <t>000</t>
  </si>
  <si>
    <t>001</t>
  </si>
  <si>
    <t>010</t>
  </si>
  <si>
    <t>011</t>
  </si>
  <si>
    <t>100</t>
  </si>
  <si>
    <t>101</t>
  </si>
  <si>
    <t>110</t>
  </si>
  <si>
    <t>111</t>
  </si>
  <si>
    <r>
      <t>q</t>
    </r>
    <r>
      <rPr>
        <vertAlign val="subscript"/>
        <sz val="11"/>
        <color theme="1"/>
        <rFont val="Calibri"/>
        <family val="2"/>
        <scheme val="minor"/>
      </rPr>
      <t>1</t>
    </r>
  </si>
  <si>
    <r>
      <t>q</t>
    </r>
    <r>
      <rPr>
        <vertAlign val="subscript"/>
        <sz val="11"/>
        <color theme="1"/>
        <rFont val="Calibri"/>
        <family val="2"/>
        <scheme val="minor"/>
      </rPr>
      <t>2</t>
    </r>
  </si>
  <si>
    <r>
      <t>q</t>
    </r>
    <r>
      <rPr>
        <vertAlign val="subscript"/>
        <sz val="11"/>
        <color theme="1"/>
        <rFont val="Calibri"/>
        <family val="2"/>
        <scheme val="minor"/>
      </rPr>
      <t>0</t>
    </r>
  </si>
  <si>
    <t>Três Qubits:</t>
  </si>
  <si>
    <t>Entrelaçados:</t>
  </si>
  <si>
    <t>Possibilidades:</t>
  </si>
  <si>
    <t>Errado</t>
  </si>
  <si>
    <t>Certo</t>
  </si>
  <si>
    <t>Medida</t>
  </si>
  <si>
    <r>
      <t>q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q</t>
    </r>
    <r>
      <rPr>
        <vertAlign val="subscript"/>
        <sz val="11"/>
        <color theme="1"/>
        <rFont val="Calibri"/>
        <family val="2"/>
        <scheme val="minor"/>
      </rPr>
      <t>0</t>
    </r>
  </si>
  <si>
    <r>
      <t>Qubit Auxiliar q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:</t>
    </r>
  </si>
  <si>
    <r>
      <t>q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.H</t>
    </r>
    <r>
      <rPr>
        <vertAlign val="subscript"/>
        <sz val="11"/>
        <color theme="1"/>
        <rFont val="Calibri"/>
        <family val="2"/>
        <scheme val="minor"/>
      </rPr>
      <t>1</t>
    </r>
  </si>
  <si>
    <t>Banco de Dados:</t>
  </si>
  <si>
    <t>A partir deste ponto é o detalhamento da 1a consulta ao Banco de Dados</t>
  </si>
  <si>
    <t>H1_</t>
  </si>
  <si>
    <t>H2_</t>
  </si>
  <si>
    <t>H3_</t>
  </si>
  <si>
    <t>Foi implementado diretamente por VBA na outra planilha</t>
  </si>
  <si>
    <r>
      <t>e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 estado</t>
    </r>
    <r>
      <rPr>
        <vertAlign val="subscript"/>
        <sz val="11"/>
        <color theme="1"/>
        <rFont val="Calibri"/>
        <family val="2"/>
        <scheme val="minor"/>
      </rPr>
      <t>0</t>
    </r>
  </si>
  <si>
    <r>
      <t>e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e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.H</t>
    </r>
    <r>
      <rPr>
        <vertAlign val="subscript"/>
        <sz val="11"/>
        <color theme="1"/>
        <rFont val="Calibri"/>
        <family val="2"/>
        <scheme val="minor"/>
      </rPr>
      <t>3</t>
    </r>
  </si>
  <si>
    <r>
      <t>e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= e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.BD</t>
    </r>
  </si>
  <si>
    <r>
      <t>e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= e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.InvM</t>
    </r>
  </si>
  <si>
    <r>
      <t>e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 xml:space="preserve"> = e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  <r>
      <rPr>
        <sz val="11"/>
        <color theme="1"/>
        <rFont val="Calibri"/>
        <family val="2"/>
        <scheme val="minor"/>
      </rPr>
      <t>BD</t>
    </r>
  </si>
  <si>
    <r>
      <t>e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= e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.InvM</t>
    </r>
  </si>
  <si>
    <r>
      <t>e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= e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.H</t>
    </r>
    <r>
      <rPr>
        <vertAlign val="sub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 xml:space="preserve">: </t>
    </r>
  </si>
  <si>
    <t>Estados Possíveis :</t>
  </si>
  <si>
    <r>
      <t>q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x e</t>
    </r>
    <r>
      <rPr>
        <vertAlign val="subscript"/>
        <sz val="11"/>
        <color theme="1"/>
        <rFont val="Calibri"/>
        <family val="2"/>
        <scheme val="minor"/>
      </rPr>
      <t xml:space="preserve">1  </t>
    </r>
    <r>
      <rPr>
        <sz val="11"/>
        <color theme="1"/>
        <rFont val="Calibri"/>
        <family val="2"/>
        <scheme val="minor"/>
      </rPr>
      <t xml:space="preserve">:  </t>
    </r>
  </si>
  <si>
    <r>
      <t>(q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.H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x e</t>
    </r>
    <r>
      <rPr>
        <vertAlign val="subscript"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>).BD:</t>
    </r>
  </si>
  <si>
    <t>Comparativo Clássico x Quântico - Grover</t>
  </si>
  <si>
    <t>x(p~99%)</t>
  </si>
  <si>
    <t>x(p~50%)</t>
  </si>
  <si>
    <t>nQubits</t>
  </si>
  <si>
    <t>nDados</t>
  </si>
  <si>
    <t>Clássico</t>
  </si>
  <si>
    <t>Quântico</t>
  </si>
  <si>
    <t>Bytes</t>
  </si>
  <si>
    <t>1M</t>
  </si>
  <si>
    <t>500k</t>
  </si>
  <si>
    <t>1G</t>
  </si>
  <si>
    <t>1k</t>
  </si>
  <si>
    <t xml:space="preserve">          Consultas ao BD</t>
  </si>
  <si>
    <t>540M</t>
  </si>
  <si>
    <t>33k</t>
  </si>
  <si>
    <t>1T</t>
  </si>
  <si>
    <t>550G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</si>
</sst>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.0E+00"/>
  </numFmts>
  <fonts count="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auto="1"/>
      </right>
      <top/>
      <bottom style="dashed">
        <color indexed="64"/>
      </bottom>
      <diagonal/>
    </border>
    <border>
      <left style="dashed">
        <color auto="1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19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1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0" xfId="0" applyBorder="1" applyAlignment="1">
      <alignment horizontal="left"/>
    </xf>
    <xf numFmtId="1" fontId="0" fillId="0" borderId="0" xfId="0" applyNumberFormat="1"/>
    <xf numFmtId="3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 baseline="0"/>
              <a:t>Estado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Planilha1!$D$2:$K$2</c:f>
              <c:strCache>
                <c:ptCount val="8"/>
                <c:pt idx="0">
                  <c:v>Alice</c:v>
                </c:pt>
                <c:pt idx="1">
                  <c:v>Bern.</c:v>
                </c:pt>
                <c:pt idx="2">
                  <c:v>Carla</c:v>
                </c:pt>
                <c:pt idx="3">
                  <c:v>Edu</c:v>
                </c:pt>
                <c:pt idx="4">
                  <c:v>Fern.</c:v>
                </c:pt>
                <c:pt idx="5">
                  <c:v>Gust.</c:v>
                </c:pt>
                <c:pt idx="6">
                  <c:v>Helia</c:v>
                </c:pt>
                <c:pt idx="7">
                  <c:v>Inácio</c:v>
                </c:pt>
              </c:strCache>
            </c:strRef>
          </c:cat>
          <c:val>
            <c:numRef>
              <c:f>Planilha1!$D$13:$K$13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0-44EB-8F59-E2F8AE15A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6110063"/>
        <c:axId val="1126104239"/>
      </c:barChart>
      <c:catAx>
        <c:axId val="112611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6104239"/>
        <c:crosses val="autoZero"/>
        <c:auto val="1"/>
        <c:lblAlgn val="ctr"/>
        <c:lblOffset val="100"/>
        <c:noMultiLvlLbl val="0"/>
      </c:catAx>
      <c:valAx>
        <c:axId val="1126104239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112611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 baseline="0"/>
              <a:t>Estado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Planilha1!$D$2:$K$2</c:f>
              <c:strCache>
                <c:ptCount val="8"/>
                <c:pt idx="0">
                  <c:v>Alice</c:v>
                </c:pt>
                <c:pt idx="1">
                  <c:v>Bern.</c:v>
                </c:pt>
                <c:pt idx="2">
                  <c:v>Carla</c:v>
                </c:pt>
                <c:pt idx="3">
                  <c:v>Edu</c:v>
                </c:pt>
                <c:pt idx="4">
                  <c:v>Fern.</c:v>
                </c:pt>
                <c:pt idx="5">
                  <c:v>Gust.</c:v>
                </c:pt>
                <c:pt idx="6">
                  <c:v>Helia</c:v>
                </c:pt>
                <c:pt idx="7">
                  <c:v>Inácio</c:v>
                </c:pt>
              </c:strCache>
            </c:strRef>
          </c:cat>
          <c:val>
            <c:numRef>
              <c:f>Planilha1!$D$26:$K$26</c:f>
              <c:numCache>
                <c:formatCode>General</c:formatCode>
                <c:ptCount val="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2.5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1-4889-9B84-BC0D330FE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6110063"/>
        <c:axId val="1126104239"/>
      </c:barChart>
      <c:catAx>
        <c:axId val="112611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6104239"/>
        <c:crosses val="autoZero"/>
        <c:auto val="1"/>
        <c:lblAlgn val="ctr"/>
        <c:lblOffset val="100"/>
        <c:noMultiLvlLbl val="0"/>
      </c:catAx>
      <c:valAx>
        <c:axId val="1126104239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112611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 baseline="0"/>
              <a:t>Estado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Planilha1!$D$2:$K$2</c:f>
              <c:strCache>
                <c:ptCount val="8"/>
                <c:pt idx="0">
                  <c:v>Alice</c:v>
                </c:pt>
                <c:pt idx="1">
                  <c:v>Bern.</c:v>
                </c:pt>
                <c:pt idx="2">
                  <c:v>Carla</c:v>
                </c:pt>
                <c:pt idx="3">
                  <c:v>Edu</c:v>
                </c:pt>
                <c:pt idx="4">
                  <c:v>Fern.</c:v>
                </c:pt>
                <c:pt idx="5">
                  <c:v>Gust.</c:v>
                </c:pt>
                <c:pt idx="6">
                  <c:v>Helia</c:v>
                </c:pt>
                <c:pt idx="7">
                  <c:v>Inácio</c:v>
                </c:pt>
              </c:strCache>
            </c:strRef>
          </c:cat>
          <c:val>
            <c:numRef>
              <c:f>Planilha1!$D$39:$K$39</c:f>
              <c:numCache>
                <c:formatCode>General</c:formatCode>
                <c:ptCount val="8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2.75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4-4698-BF87-CEF806085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6110063"/>
        <c:axId val="1126104239"/>
      </c:barChart>
      <c:catAx>
        <c:axId val="112611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6104239"/>
        <c:crosses val="autoZero"/>
        <c:auto val="1"/>
        <c:lblAlgn val="ctr"/>
        <c:lblOffset val="100"/>
        <c:noMultiLvlLbl val="0"/>
      </c:catAx>
      <c:valAx>
        <c:axId val="1126104239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1126110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Planilha3!$B$3</c:f>
              <c:strCache>
                <c:ptCount val="1"/>
                <c:pt idx="0">
                  <c:v>nDados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Planilha3!$A$4:$A$10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 formatCode="#,##0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</c:numCache>
            </c:numRef>
          </c:xVal>
          <c:yVal>
            <c:numRef>
              <c:f>Planilha3!$B$4:$B$10</c:f>
              <c:numCache>
                <c:formatCode>0.0E+00</c:formatCode>
                <c:ptCount val="7"/>
                <c:pt idx="0">
                  <c:v>8</c:v>
                </c:pt>
                <c:pt idx="1">
                  <c:v>16</c:v>
                </c:pt>
                <c:pt idx="2">
                  <c:v>1048576</c:v>
                </c:pt>
                <c:pt idx="3">
                  <c:v>33554432</c:v>
                </c:pt>
                <c:pt idx="4">
                  <c:v>1073741824</c:v>
                </c:pt>
                <c:pt idx="5">
                  <c:v>34359738368</c:v>
                </c:pt>
                <c:pt idx="6">
                  <c:v>1099511627776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94-4CFB-93AF-718EA2E636E5}"/>
            </c:ext>
          </c:extLst>
        </c:ser>
        <c:ser>
          <c:idx val="1"/>
          <c:order val="1"/>
          <c:tx>
            <c:strRef>
              <c:f>Planilha3!$C$3</c:f>
              <c:strCache>
                <c:ptCount val="1"/>
                <c:pt idx="0">
                  <c:v>Clássico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Planilha3!$A$4:$A$10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 formatCode="#,##0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</c:numCache>
            </c:numRef>
          </c:xVal>
          <c:yVal>
            <c:numRef>
              <c:f>Planilha3!$C$4:$C$10</c:f>
              <c:numCache>
                <c:formatCode>General</c:formatCode>
                <c:ptCount val="7"/>
                <c:pt idx="0">
                  <c:v>4</c:v>
                </c:pt>
                <c:pt idx="1">
                  <c:v>8</c:v>
                </c:pt>
                <c:pt idx="2" formatCode="#,##0">
                  <c:v>524288</c:v>
                </c:pt>
                <c:pt idx="3" formatCode="#,##0">
                  <c:v>16777216</c:v>
                </c:pt>
                <c:pt idx="4" formatCode="0.0E+00">
                  <c:v>536870912</c:v>
                </c:pt>
                <c:pt idx="5" formatCode="0.0E+00">
                  <c:v>17179869184</c:v>
                </c:pt>
                <c:pt idx="6" formatCode="0.0E+00">
                  <c:v>549755813888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94-4CFB-93AF-718EA2E636E5}"/>
            </c:ext>
          </c:extLst>
        </c:ser>
        <c:ser>
          <c:idx val="2"/>
          <c:order val="2"/>
          <c:tx>
            <c:strRef>
              <c:f>Planilha3!$D$3</c:f>
              <c:strCache>
                <c:ptCount val="1"/>
                <c:pt idx="0">
                  <c:v>Quântico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Planilha3!$A$4:$A$10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 formatCode="#,##0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</c:numCache>
            </c:numRef>
          </c:xVal>
          <c:yVal>
            <c:numRef>
              <c:f>Planilha3!$D$4:$D$10</c:f>
              <c:numCache>
                <c:formatCode>0</c:formatCode>
                <c:ptCount val="7"/>
                <c:pt idx="0">
                  <c:v>2.8284271247461898</c:v>
                </c:pt>
                <c:pt idx="1">
                  <c:v>4</c:v>
                </c:pt>
                <c:pt idx="2" formatCode="#,##0">
                  <c:v>1024</c:v>
                </c:pt>
                <c:pt idx="3" formatCode="#,##0">
                  <c:v>5792.6187514801986</c:v>
                </c:pt>
                <c:pt idx="4" formatCode="0.0E+00">
                  <c:v>32768</c:v>
                </c:pt>
                <c:pt idx="5" formatCode="0.0E+00">
                  <c:v>185363.80004736609</c:v>
                </c:pt>
                <c:pt idx="6" formatCode="0.0E+00">
                  <c:v>1048576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94-4CFB-93AF-718EA2E63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0376031"/>
        <c:axId val="910376447"/>
      </c:scatterChart>
      <c:valAx>
        <c:axId val="910376031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376447"/>
        <c:crosses val="autoZero"/>
        <c:crossBetween val="midCat"/>
      </c:valAx>
      <c:valAx>
        <c:axId val="9103764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376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Planilha3!$B$3</c:f>
              <c:strCache>
                <c:ptCount val="1"/>
                <c:pt idx="0">
                  <c:v>nDados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Planilha3!$A$4:$A$10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 formatCode="#,##0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</c:numCache>
            </c:numRef>
          </c:xVal>
          <c:yVal>
            <c:numRef>
              <c:f>Planilha3!$B$4:$B$10</c:f>
              <c:numCache>
                <c:formatCode>0.0E+00</c:formatCode>
                <c:ptCount val="7"/>
                <c:pt idx="0">
                  <c:v>8</c:v>
                </c:pt>
                <c:pt idx="1">
                  <c:v>16</c:v>
                </c:pt>
                <c:pt idx="2">
                  <c:v>1048576</c:v>
                </c:pt>
                <c:pt idx="3">
                  <c:v>33554432</c:v>
                </c:pt>
                <c:pt idx="4">
                  <c:v>1073741824</c:v>
                </c:pt>
                <c:pt idx="5">
                  <c:v>34359738368</c:v>
                </c:pt>
                <c:pt idx="6">
                  <c:v>1099511627776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76-4C92-9143-C37150280733}"/>
            </c:ext>
          </c:extLst>
        </c:ser>
        <c:ser>
          <c:idx val="1"/>
          <c:order val="1"/>
          <c:tx>
            <c:strRef>
              <c:f>Planilha3!$C$3</c:f>
              <c:strCache>
                <c:ptCount val="1"/>
                <c:pt idx="0">
                  <c:v>Clássico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Planilha3!$A$4:$A$10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 formatCode="#,##0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</c:numCache>
            </c:numRef>
          </c:xVal>
          <c:yVal>
            <c:numRef>
              <c:f>Planilha3!$C$4:$C$10</c:f>
              <c:numCache>
                <c:formatCode>General</c:formatCode>
                <c:ptCount val="7"/>
                <c:pt idx="0">
                  <c:v>4</c:v>
                </c:pt>
                <c:pt idx="1">
                  <c:v>8</c:v>
                </c:pt>
                <c:pt idx="2" formatCode="#,##0">
                  <c:v>524288</c:v>
                </c:pt>
                <c:pt idx="3" formatCode="#,##0">
                  <c:v>16777216</c:v>
                </c:pt>
                <c:pt idx="4" formatCode="0.0E+00">
                  <c:v>536870912</c:v>
                </c:pt>
                <c:pt idx="5" formatCode="0.0E+00">
                  <c:v>17179869184</c:v>
                </c:pt>
                <c:pt idx="6" formatCode="0.0E+00">
                  <c:v>549755813888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76-4C92-9143-C37150280733}"/>
            </c:ext>
          </c:extLst>
        </c:ser>
        <c:ser>
          <c:idx val="2"/>
          <c:order val="2"/>
          <c:tx>
            <c:strRef>
              <c:f>Planilha3!$D$3</c:f>
              <c:strCache>
                <c:ptCount val="1"/>
                <c:pt idx="0">
                  <c:v>Quântico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Planilha3!$A$4:$A$10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 formatCode="#,##0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</c:numCache>
            </c:numRef>
          </c:xVal>
          <c:yVal>
            <c:numRef>
              <c:f>Planilha3!$D$4:$D$10</c:f>
              <c:numCache>
                <c:formatCode>0</c:formatCode>
                <c:ptCount val="7"/>
                <c:pt idx="0">
                  <c:v>2.8284271247461898</c:v>
                </c:pt>
                <c:pt idx="1">
                  <c:v>4</c:v>
                </c:pt>
                <c:pt idx="2" formatCode="#,##0">
                  <c:v>1024</c:v>
                </c:pt>
                <c:pt idx="3" formatCode="#,##0">
                  <c:v>5792.6187514801986</c:v>
                </c:pt>
                <c:pt idx="4" formatCode="0.0E+00">
                  <c:v>32768</c:v>
                </c:pt>
                <c:pt idx="5" formatCode="0.0E+00">
                  <c:v>185363.80004736609</c:v>
                </c:pt>
                <c:pt idx="6" formatCode="0.0E+00">
                  <c:v>1048576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76-4C92-9143-C37150280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0376031"/>
        <c:axId val="910376447"/>
      </c:scatterChart>
      <c:valAx>
        <c:axId val="910376031"/>
        <c:scaling>
          <c:orientation val="minMax"/>
          <c:max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376447"/>
        <c:crosses val="autoZero"/>
        <c:crossBetween val="midCat"/>
      </c:valAx>
      <c:valAx>
        <c:axId val="91037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0376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610465</xdr:colOff>
      <xdr:row>12</xdr:row>
      <xdr:rowOff>8657</xdr:rowOff>
    </xdr:from>
    <xdr:to>
      <xdr:col>19</xdr:col>
      <xdr:colOff>216477</xdr:colOff>
      <xdr:row>20</xdr:row>
      <xdr:rowOff>81393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8659</xdr:colOff>
      <xdr:row>25</xdr:row>
      <xdr:rowOff>8658</xdr:rowOff>
    </xdr:from>
    <xdr:to>
      <xdr:col>19</xdr:col>
      <xdr:colOff>225137</xdr:colOff>
      <xdr:row>33</xdr:row>
      <xdr:rowOff>81394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4330</xdr:colOff>
      <xdr:row>38</xdr:row>
      <xdr:rowOff>4328</xdr:rowOff>
    </xdr:from>
    <xdr:to>
      <xdr:col>19</xdr:col>
      <xdr:colOff>220808</xdr:colOff>
      <xdr:row>46</xdr:row>
      <xdr:rowOff>77064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85043</xdr:colOff>
      <xdr:row>0</xdr:row>
      <xdr:rowOff>44222</xdr:rowOff>
    </xdr:from>
    <xdr:to>
      <xdr:col>10</xdr:col>
      <xdr:colOff>353784</xdr:colOff>
      <xdr:row>12</xdr:row>
      <xdr:rowOff>61911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88447</xdr:colOff>
      <xdr:row>0</xdr:row>
      <xdr:rowOff>44223</xdr:rowOff>
    </xdr:from>
    <xdr:to>
      <xdr:col>10</xdr:col>
      <xdr:colOff>357188</xdr:colOff>
      <xdr:row>12</xdr:row>
      <xdr:rowOff>61912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2:M40"/>
  <sheetViews>
    <sheetView topLeftCell="A26" zoomScale="170" zoomScaleNormal="170" workbookViewId="0">
      <selection activeCell="A36" sqref="A36:M39"/>
    </sheetView>
  </sheetViews>
  <sheetFormatPr defaultRowHeight="15" x14ac:dyDescent="0.25"/>
  <cols>
    <col min="1" max="12" width="6.85546875" customWidth="1"/>
    <col min="13" max="13" width="8.7109375" bestFit="1" customWidth="1"/>
  </cols>
  <sheetData>
    <row r="2" spans="1:13" ht="15.75" thickBot="1" x14ac:dyDescent="0.3">
      <c r="A2" s="1" t="s">
        <v>8</v>
      </c>
      <c r="B2" s="2" t="s">
        <v>0</v>
      </c>
      <c r="D2" s="1" t="s">
        <v>0</v>
      </c>
      <c r="E2" s="1" t="s">
        <v>3</v>
      </c>
      <c r="F2" s="1" t="s">
        <v>1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2</v>
      </c>
    </row>
    <row r="3" spans="1:13" ht="15.75" thickBot="1" x14ac:dyDescent="0.3">
      <c r="A3" s="1" t="s">
        <v>9</v>
      </c>
      <c r="B3" s="3" t="str">
        <f>INDEX(D3:K3,MATCH(B2,D2:K2,0))</f>
        <v>Errado</v>
      </c>
      <c r="D3" s="10" t="s">
        <v>25</v>
      </c>
      <c r="E3" s="11" t="s">
        <v>25</v>
      </c>
      <c r="F3" s="11" t="s">
        <v>25</v>
      </c>
      <c r="G3" s="11" t="s">
        <v>25</v>
      </c>
      <c r="H3" s="11" t="s">
        <v>26</v>
      </c>
      <c r="I3" s="11" t="s">
        <v>25</v>
      </c>
      <c r="J3" s="11" t="s">
        <v>25</v>
      </c>
      <c r="K3" s="12" t="s">
        <v>25</v>
      </c>
    </row>
    <row r="5" spans="1:13" x14ac:dyDescent="0.25">
      <c r="D5" t="s">
        <v>10</v>
      </c>
    </row>
    <row r="6" spans="1:13" ht="18" x14ac:dyDescent="0.35">
      <c r="B6" s="1" t="s">
        <v>22</v>
      </c>
      <c r="D6" s="1" t="s">
        <v>21</v>
      </c>
      <c r="E6" s="1" t="s">
        <v>19</v>
      </c>
      <c r="F6" s="1" t="s">
        <v>20</v>
      </c>
    </row>
    <row r="8" spans="1:13" ht="18" x14ac:dyDescent="0.35">
      <c r="B8" s="1" t="s">
        <v>23</v>
      </c>
      <c r="D8" s="1" t="s">
        <v>28</v>
      </c>
    </row>
    <row r="9" spans="1:13" ht="15.75" thickBot="1" x14ac:dyDescent="0.3">
      <c r="B9" s="1" t="s">
        <v>24</v>
      </c>
      <c r="D9" s="4" t="s">
        <v>11</v>
      </c>
      <c r="E9" s="4" t="s">
        <v>12</v>
      </c>
      <c r="F9" s="4" t="s">
        <v>13</v>
      </c>
      <c r="G9" s="4" t="s">
        <v>14</v>
      </c>
      <c r="H9" s="4" t="s">
        <v>15</v>
      </c>
      <c r="I9" s="4" t="s">
        <v>16</v>
      </c>
      <c r="J9" s="4" t="s">
        <v>17</v>
      </c>
      <c r="K9" s="4" t="s">
        <v>18</v>
      </c>
    </row>
    <row r="10" spans="1:13" ht="18.75" thickBot="1" x14ac:dyDescent="0.4">
      <c r="B10" s="1" t="s">
        <v>37</v>
      </c>
      <c r="D10" s="13">
        <v>1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  <c r="K10" s="15">
        <v>0</v>
      </c>
    </row>
    <row r="11" spans="1:13" hidden="1" x14ac:dyDescent="0.25">
      <c r="D11" s="9">
        <v>0</v>
      </c>
      <c r="E11" s="9">
        <f t="array" ref="E11">SUM(($D10:D10)*($D10:D10))/SUM(($D10:$K10)*($D10:$K10))</f>
        <v>1</v>
      </c>
      <c r="F11" s="9">
        <f t="array" ref="F11">SUM(($D10:E10)*($D10:E10))/SUM(($D10:$K10)*($D10:$K10))</f>
        <v>1</v>
      </c>
      <c r="G11" s="9">
        <f t="array" ref="G11">SUM(($D10:F10)*($D10:F10))/SUM(($D10:$K10)*($D10:$K10))</f>
        <v>1</v>
      </c>
      <c r="H11" s="9">
        <f t="array" ref="H11">SUM(($D10:G10)*($D10:G10))/SUM(($D10:$K10)*($D10:$K10))</f>
        <v>1</v>
      </c>
      <c r="I11" s="9">
        <f t="array" ref="I11">SUM(($D10:H10)*($D10:H10))/SUM(($D10:$K10)*($D10:$K10))</f>
        <v>1</v>
      </c>
      <c r="J11" s="9">
        <f t="array" ref="J11">SUM(($D10:I10)*($D10:I10))/SUM(($D10:$K10)*($D10:$K10))</f>
        <v>1</v>
      </c>
      <c r="K11" s="9">
        <f t="array" ref="K11">SUM(($D10:J10)*($D10:J10))/SUM(($D10:$K10)*($D10:$K10))</f>
        <v>1</v>
      </c>
    </row>
    <row r="12" spans="1:13" ht="15.75" thickBot="1" x14ac:dyDescent="0.3">
      <c r="M12" s="1" t="s">
        <v>27</v>
      </c>
    </row>
    <row r="13" spans="1:13" ht="18.75" thickBot="1" x14ac:dyDescent="0.4">
      <c r="B13" s="1" t="s">
        <v>38</v>
      </c>
      <c r="D13" s="13">
        <f t="array" ref="D13:K13">MMULT(e0_,H3_)</f>
        <v>1</v>
      </c>
      <c r="E13" s="14">
        <v>1</v>
      </c>
      <c r="F13" s="14">
        <v>1</v>
      </c>
      <c r="G13" s="14">
        <v>1</v>
      </c>
      <c r="H13" s="14">
        <v>1</v>
      </c>
      <c r="I13" s="14">
        <v>1</v>
      </c>
      <c r="J13" s="14">
        <v>1</v>
      </c>
      <c r="K13" s="15">
        <v>1</v>
      </c>
      <c r="M13" s="8" t="str">
        <f ca="1">INDEX($D$2:$K$2,MATCH(RAND(),D14:K14,1))</f>
        <v>Inácio</v>
      </c>
    </row>
    <row r="14" spans="1:13" x14ac:dyDescent="0.25">
      <c r="D14" s="9">
        <v>0</v>
      </c>
      <c r="E14" s="9">
        <f t="array" ref="E14">SUM(($D13:D13)*($D13:D13))/SUM(($D13:$K13)*($D13:$K13))</f>
        <v>0.125</v>
      </c>
      <c r="F14" s="9">
        <f t="array" ref="F14">SUM(($D13:E13)*($D13:E13))/SUM(($D13:$K13)*($D13:$K13))</f>
        <v>0.25</v>
      </c>
      <c r="G14" s="9">
        <f t="array" ref="G14">SUM(($D13:F13)*($D13:F13))/SUM(($D13:$K13)*($D13:$K13))</f>
        <v>0.375</v>
      </c>
      <c r="H14" s="9">
        <f t="array" ref="H14">SUM(($D13:G13)*($D13:G13))/SUM(($D13:$K13)*($D13:$K13))</f>
        <v>0.5</v>
      </c>
      <c r="I14" s="9">
        <f t="array" ref="I14">SUM(($D13:H13)*($D13:H13))/SUM(($D13:$K13)*($D13:$K13))</f>
        <v>0.625</v>
      </c>
      <c r="J14" s="9">
        <f t="array" ref="J14">SUM(($D13:I13)*($D13:I13))/SUM(($D13:$K13)*($D13:$K13))</f>
        <v>0.75</v>
      </c>
      <c r="K14" s="9">
        <f t="array" ref="K14">SUM(($D13:J13)*($D13:J13))/SUM(($D13:$K13)*($D13:$K13))</f>
        <v>0.875</v>
      </c>
    </row>
    <row r="15" spans="1:13" x14ac:dyDescent="0.25">
      <c r="D15" s="9"/>
      <c r="E15" s="9"/>
      <c r="F15" s="9"/>
      <c r="G15" s="9"/>
      <c r="H15" s="9"/>
      <c r="I15" s="9"/>
      <c r="J15" s="9"/>
      <c r="K15" s="9"/>
    </row>
    <row r="16" spans="1:13" x14ac:dyDescent="0.25">
      <c r="D16" s="9"/>
      <c r="E16" s="9"/>
      <c r="F16" s="9"/>
      <c r="G16" s="9"/>
      <c r="H16" s="9"/>
      <c r="I16" s="9"/>
      <c r="J16" s="9"/>
      <c r="K16" s="9"/>
    </row>
    <row r="17" spans="2:13" x14ac:dyDescent="0.25">
      <c r="D17" s="9"/>
      <c r="E17" s="9"/>
      <c r="F17" s="9"/>
      <c r="G17" s="9"/>
      <c r="H17" s="9"/>
      <c r="I17" s="9"/>
      <c r="J17" s="9"/>
      <c r="K17" s="9"/>
    </row>
    <row r="18" spans="2:13" x14ac:dyDescent="0.25">
      <c r="D18" s="9"/>
      <c r="E18" s="9"/>
      <c r="F18" s="9"/>
      <c r="G18" s="9"/>
      <c r="H18" s="9"/>
      <c r="I18" s="9"/>
      <c r="J18" s="9"/>
      <c r="K18" s="9"/>
    </row>
    <row r="19" spans="2:13" x14ac:dyDescent="0.25">
      <c r="D19" s="9"/>
      <c r="E19" s="9"/>
      <c r="F19" s="9"/>
      <c r="G19" s="9"/>
      <c r="H19" s="9"/>
      <c r="I19" s="9"/>
      <c r="J19" s="9"/>
      <c r="K19" s="9"/>
    </row>
    <row r="20" spans="2:13" x14ac:dyDescent="0.25">
      <c r="D20" s="9"/>
      <c r="E20" s="9"/>
      <c r="F20" s="9"/>
      <c r="G20" s="9"/>
      <c r="H20" s="9"/>
      <c r="I20" s="9"/>
      <c r="J20" s="9"/>
      <c r="K20" s="9"/>
    </row>
    <row r="21" spans="2:13" x14ac:dyDescent="0.25">
      <c r="D21" s="9"/>
      <c r="E21" s="9"/>
      <c r="F21" s="9"/>
      <c r="G21" s="9"/>
      <c r="H21" s="9"/>
      <c r="I21" s="9"/>
      <c r="J21" s="9"/>
      <c r="K21" s="9"/>
    </row>
    <row r="22" spans="2:13" ht="15.75" thickBot="1" x14ac:dyDescent="0.3"/>
    <row r="23" spans="2:13" ht="18.75" thickBot="1" x14ac:dyDescent="0.4">
      <c r="B23" s="1" t="s">
        <v>39</v>
      </c>
      <c r="D23" s="13">
        <f t="array" ref="D23:K23">MMULT(kron(q3H1_,e1_),oracle3(dados_))</f>
        <v>1</v>
      </c>
      <c r="E23" s="14">
        <v>1</v>
      </c>
      <c r="F23" s="14">
        <v>1</v>
      </c>
      <c r="G23" s="14">
        <v>1</v>
      </c>
      <c r="H23" s="14">
        <v>-1</v>
      </c>
      <c r="I23" s="14">
        <v>1</v>
      </c>
      <c r="J23" s="14">
        <v>1</v>
      </c>
      <c r="K23" s="15">
        <v>1</v>
      </c>
    </row>
    <row r="24" spans="2:13" x14ac:dyDescent="0.25">
      <c r="D24" s="9"/>
      <c r="E24" s="9"/>
      <c r="F24" s="9"/>
      <c r="G24" s="9"/>
      <c r="H24" s="9"/>
      <c r="I24" s="9"/>
      <c r="J24" s="9"/>
      <c r="K24" s="9"/>
    </row>
    <row r="25" spans="2:13" ht="15.75" thickBot="1" x14ac:dyDescent="0.3">
      <c r="M25" s="1" t="s">
        <v>27</v>
      </c>
    </row>
    <row r="26" spans="2:13" ht="18.75" thickBot="1" x14ac:dyDescent="0.4">
      <c r="B26" s="1" t="s">
        <v>40</v>
      </c>
      <c r="D26" s="13">
        <f t="array" ref="D26:K26">InvM(e2_)</f>
        <v>0.5</v>
      </c>
      <c r="E26" s="14">
        <v>0.5</v>
      </c>
      <c r="F26" s="14">
        <v>0.5</v>
      </c>
      <c r="G26" s="14">
        <v>0.5</v>
      </c>
      <c r="H26" s="14">
        <v>2.5</v>
      </c>
      <c r="I26" s="14">
        <v>0.5</v>
      </c>
      <c r="J26" s="14">
        <v>0.5</v>
      </c>
      <c r="K26" s="15">
        <v>0.5</v>
      </c>
      <c r="M26" s="8" t="str">
        <f ca="1">INDEX($D$2:$K$2,MATCH(RAND(),D27:K27,1))</f>
        <v>Helia</v>
      </c>
    </row>
    <row r="27" spans="2:13" x14ac:dyDescent="0.25">
      <c r="D27" s="9">
        <v>0</v>
      </c>
      <c r="E27" s="9">
        <f t="array" ref="E27">SUM(($D26:D26)*($D26:D26))/SUM(($D26:$K26)*($D26:$K26))</f>
        <v>3.125E-2</v>
      </c>
      <c r="F27" s="9">
        <f t="array" ref="F27">SUM(($D26:E26)*($D26:E26))/SUM(($D26:$K26)*($D26:$K26))</f>
        <v>6.25E-2</v>
      </c>
      <c r="G27" s="9">
        <f t="array" ref="G27">SUM(($D26:F26)*($D26:F26))/SUM(($D26:$K26)*($D26:$K26))</f>
        <v>9.375E-2</v>
      </c>
      <c r="H27" s="9">
        <f t="array" ref="H27">SUM(($D26:G26)*($D26:G26))/SUM(($D26:$K26)*($D26:$K26))</f>
        <v>0.125</v>
      </c>
      <c r="I27" s="9">
        <f t="array" ref="I27">SUM(($D26:H26)*($D26:H26))/SUM(($D26:$K26)*($D26:$K26))</f>
        <v>0.90625</v>
      </c>
      <c r="J27" s="9">
        <f t="array" ref="J27">SUM(($D26:I26)*($D26:I26))/SUM(($D26:$K26)*($D26:$K26))</f>
        <v>0.9375</v>
      </c>
      <c r="K27" s="9">
        <f t="array" ref="K27">SUM(($D26:J26)*($D26:J26))/SUM(($D26:$K26)*($D26:$K26))</f>
        <v>0.96875</v>
      </c>
    </row>
    <row r="28" spans="2:13" x14ac:dyDescent="0.25">
      <c r="D28" s="9"/>
      <c r="E28" s="9"/>
      <c r="F28" s="9"/>
      <c r="G28" s="9"/>
      <c r="H28" s="9"/>
      <c r="I28" s="9"/>
      <c r="J28" s="9"/>
      <c r="K28" s="9"/>
    </row>
    <row r="29" spans="2:13" x14ac:dyDescent="0.25">
      <c r="D29" s="9"/>
      <c r="E29" s="9"/>
      <c r="F29" s="9"/>
      <c r="G29" s="9"/>
      <c r="H29" s="9"/>
      <c r="I29" s="9"/>
      <c r="J29" s="9"/>
      <c r="K29" s="9"/>
    </row>
    <row r="30" spans="2:13" x14ac:dyDescent="0.25">
      <c r="D30" s="9"/>
      <c r="E30" s="9"/>
      <c r="F30" s="9"/>
      <c r="G30" s="9"/>
      <c r="H30" s="9"/>
      <c r="I30" s="9"/>
      <c r="J30" s="9"/>
      <c r="K30" s="9"/>
    </row>
    <row r="31" spans="2:13" x14ac:dyDescent="0.25">
      <c r="D31" s="9"/>
      <c r="E31" s="9"/>
      <c r="F31" s="9"/>
      <c r="G31" s="9"/>
      <c r="H31" s="9"/>
      <c r="I31" s="9"/>
      <c r="J31" s="9"/>
      <c r="K31" s="9"/>
    </row>
    <row r="32" spans="2:13" x14ac:dyDescent="0.25">
      <c r="D32" s="9"/>
      <c r="E32" s="9"/>
      <c r="F32" s="9"/>
      <c r="G32" s="9"/>
      <c r="H32" s="9"/>
      <c r="I32" s="9"/>
      <c r="J32" s="9"/>
      <c r="K32" s="9"/>
    </row>
    <row r="33" spans="2:13" x14ac:dyDescent="0.25">
      <c r="D33" s="9"/>
      <c r="E33" s="9"/>
      <c r="F33" s="9"/>
      <c r="G33" s="9"/>
      <c r="H33" s="9"/>
      <c r="I33" s="9"/>
      <c r="J33" s="9"/>
      <c r="K33" s="9"/>
    </row>
    <row r="34" spans="2:13" x14ac:dyDescent="0.25">
      <c r="D34" s="9"/>
      <c r="E34" s="9"/>
      <c r="F34" s="9"/>
      <c r="G34" s="9"/>
      <c r="H34" s="9"/>
      <c r="I34" s="9"/>
      <c r="J34" s="9"/>
      <c r="K34" s="9"/>
    </row>
    <row r="35" spans="2:13" ht="15.75" thickBot="1" x14ac:dyDescent="0.3"/>
    <row r="36" spans="2:13" ht="18.75" thickBot="1" x14ac:dyDescent="0.4">
      <c r="B36" s="1" t="s">
        <v>41</v>
      </c>
      <c r="D36" s="13">
        <f t="array" ref="D36:K36">MMULT(kron(q3H1_,e3_),oracle3(dados_))</f>
        <v>0.5</v>
      </c>
      <c r="E36" s="14">
        <v>0.5</v>
      </c>
      <c r="F36" s="14">
        <v>0.5</v>
      </c>
      <c r="G36" s="14">
        <v>0.5</v>
      </c>
      <c r="H36" s="14">
        <v>-2.5</v>
      </c>
      <c r="I36" s="14">
        <v>0.5</v>
      </c>
      <c r="J36" s="14">
        <v>0.5</v>
      </c>
      <c r="K36" s="15">
        <v>0.5</v>
      </c>
    </row>
    <row r="37" spans="2:13" x14ac:dyDescent="0.25">
      <c r="D37" s="9"/>
      <c r="E37" s="9"/>
      <c r="F37" s="9"/>
      <c r="G37" s="9"/>
      <c r="H37" s="9"/>
      <c r="I37" s="9"/>
      <c r="J37" s="9"/>
      <c r="K37" s="9"/>
    </row>
    <row r="38" spans="2:13" ht="15.75" thickBot="1" x14ac:dyDescent="0.3">
      <c r="M38" s="1" t="s">
        <v>27</v>
      </c>
    </row>
    <row r="39" spans="2:13" ht="18.75" thickBot="1" x14ac:dyDescent="0.4">
      <c r="B39" s="1" t="s">
        <v>42</v>
      </c>
      <c r="D39" s="13">
        <f t="array" ref="D39:K39">InvM(e4_)</f>
        <v>-0.25</v>
      </c>
      <c r="E39" s="14">
        <v>-0.25</v>
      </c>
      <c r="F39" s="14">
        <v>-0.25</v>
      </c>
      <c r="G39" s="14">
        <v>-0.25</v>
      </c>
      <c r="H39" s="14">
        <v>2.75</v>
      </c>
      <c r="I39" s="14">
        <v>-0.25</v>
      </c>
      <c r="J39" s="14">
        <v>-0.25</v>
      </c>
      <c r="K39" s="15">
        <v>-0.25</v>
      </c>
      <c r="M39" s="8" t="str">
        <f ca="1">INDEX($D$2:$K$2,MATCH(RAND(),D40:K40,1))</f>
        <v>Fern.</v>
      </c>
    </row>
    <row r="40" spans="2:13" x14ac:dyDescent="0.25">
      <c r="D40" s="9">
        <v>0</v>
      </c>
      <c r="E40" s="9">
        <f t="array" ref="E40">SUM(($D39:D39)*($D39:D39))/SUM(($D39:$K39)*($D39:$K39))</f>
        <v>7.8125E-3</v>
      </c>
      <c r="F40" s="9">
        <f t="array" ref="F40">SUM(($D39:E39)*($D39:E39))/SUM(($D39:$K39)*($D39:$K39))</f>
        <v>1.5625E-2</v>
      </c>
      <c r="G40" s="9">
        <f t="array" ref="G40">SUM(($D39:F39)*($D39:F39))/SUM(($D39:$K39)*($D39:$K39))</f>
        <v>2.34375E-2</v>
      </c>
      <c r="H40" s="9">
        <f t="array" ref="H40">SUM(($D39:G39)*($D39:G39))/SUM(($D39:$K39)*($D39:$K39))</f>
        <v>3.125E-2</v>
      </c>
      <c r="I40" s="9">
        <f t="array" ref="I40">SUM(($D39:H39)*($D39:H39))/SUM(($D39:$K39)*($D39:$K39))</f>
        <v>0.9765625</v>
      </c>
      <c r="J40" s="9">
        <f t="array" ref="J40">SUM(($D39:I39)*($D39:I39))/SUM(($D39:$K39)*($D39:$K39))</f>
        <v>0.984375</v>
      </c>
      <c r="K40" s="9">
        <f t="array" ref="K40">SUM(($D39:J39)*($D39:J39))/SUM(($D39:$K39)*($D39:$K39))</f>
        <v>0.9921875</v>
      </c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7"/>
  <sheetViews>
    <sheetView tabSelected="1" topLeftCell="A5" zoomScale="280" zoomScaleNormal="280" workbookViewId="0">
      <selection activeCell="E17" sqref="E17"/>
    </sheetView>
  </sheetViews>
  <sheetFormatPr defaultRowHeight="15" x14ac:dyDescent="0.25"/>
  <cols>
    <col min="1" max="1" width="8.42578125" customWidth="1"/>
    <col min="2" max="2" width="12.85546875" customWidth="1"/>
    <col min="3" max="3" width="11.85546875" customWidth="1"/>
    <col min="4" max="4" width="11.42578125" customWidth="1"/>
  </cols>
  <sheetData>
    <row r="1" spans="1:4" x14ac:dyDescent="0.25">
      <c r="A1" t="s">
        <v>47</v>
      </c>
    </row>
    <row r="2" spans="1:4" x14ac:dyDescent="0.25">
      <c r="C2" t="s">
        <v>49</v>
      </c>
      <c r="D2" t="s">
        <v>48</v>
      </c>
    </row>
    <row r="3" spans="1:4" x14ac:dyDescent="0.25">
      <c r="A3" t="s">
        <v>50</v>
      </c>
      <c r="B3" t="s">
        <v>51</v>
      </c>
      <c r="C3" t="s">
        <v>52</v>
      </c>
      <c r="D3" t="s">
        <v>53</v>
      </c>
    </row>
    <row r="4" spans="1:4" x14ac:dyDescent="0.25">
      <c r="A4">
        <v>3</v>
      </c>
      <c r="B4" s="61">
        <f>2^A4</f>
        <v>8</v>
      </c>
      <c r="C4">
        <f>2^A4/2</f>
        <v>4</v>
      </c>
      <c r="D4" s="59">
        <f>2^(A4/2)</f>
        <v>2.8284271247461898</v>
      </c>
    </row>
    <row r="5" spans="1:4" x14ac:dyDescent="0.25">
      <c r="A5">
        <v>4</v>
      </c>
      <c r="B5" s="61">
        <f>2^A5</f>
        <v>16</v>
      </c>
      <c r="C5">
        <f>2^A5/2</f>
        <v>8</v>
      </c>
      <c r="D5" s="59">
        <f>2^(A5/2)</f>
        <v>4</v>
      </c>
    </row>
    <row r="6" spans="1:4" x14ac:dyDescent="0.25">
      <c r="A6" s="60">
        <v>20</v>
      </c>
      <c r="B6" s="61">
        <f>2^A6</f>
        <v>1048576</v>
      </c>
      <c r="C6" s="60">
        <f>2^A6/2</f>
        <v>524288</v>
      </c>
      <c r="D6" s="60">
        <f>2^(A6/2)</f>
        <v>1024</v>
      </c>
    </row>
    <row r="7" spans="1:4" x14ac:dyDescent="0.25">
      <c r="A7">
        <v>25</v>
      </c>
      <c r="B7" s="61">
        <f>2^A7</f>
        <v>33554432</v>
      </c>
      <c r="C7" s="60">
        <f>2^A7/2</f>
        <v>16777216</v>
      </c>
      <c r="D7" s="60">
        <f>2^(A7/2)</f>
        <v>5792.6187514801986</v>
      </c>
    </row>
    <row r="8" spans="1:4" x14ac:dyDescent="0.25">
      <c r="A8">
        <v>30</v>
      </c>
      <c r="B8" s="61">
        <f>2^A8</f>
        <v>1073741824</v>
      </c>
      <c r="C8" s="61">
        <f>2^A8/2</f>
        <v>536870912</v>
      </c>
      <c r="D8" s="61">
        <f>2^(A8/2)</f>
        <v>32768</v>
      </c>
    </row>
    <row r="9" spans="1:4" x14ac:dyDescent="0.25">
      <c r="A9">
        <v>35</v>
      </c>
      <c r="B9" s="61">
        <f>2^A9</f>
        <v>34359738368</v>
      </c>
      <c r="C9" s="61">
        <f>2^A9/2</f>
        <v>17179869184</v>
      </c>
      <c r="D9" s="61">
        <f>2^(A9/2)</f>
        <v>185363.80004736609</v>
      </c>
    </row>
    <row r="10" spans="1:4" x14ac:dyDescent="0.25">
      <c r="A10">
        <v>40</v>
      </c>
      <c r="B10" s="61">
        <f>2^A10</f>
        <v>1099511627776</v>
      </c>
      <c r="C10" s="61">
        <f>2^A10/2</f>
        <v>549755813888</v>
      </c>
      <c r="D10" s="61">
        <f>2^(A10/2)</f>
        <v>1048576</v>
      </c>
    </row>
    <row r="12" spans="1:4" x14ac:dyDescent="0.25">
      <c r="B12" s="1"/>
      <c r="C12" s="1" t="s">
        <v>59</v>
      </c>
      <c r="D12" s="1"/>
    </row>
    <row r="13" spans="1:4" x14ac:dyDescent="0.25">
      <c r="B13" s="1" t="s">
        <v>54</v>
      </c>
      <c r="C13" s="1" t="s">
        <v>52</v>
      </c>
      <c r="D13" s="1" t="s">
        <v>53</v>
      </c>
    </row>
    <row r="14" spans="1:4" x14ac:dyDescent="0.25">
      <c r="B14" s="1">
        <v>8</v>
      </c>
      <c r="C14" s="1">
        <v>4</v>
      </c>
      <c r="D14" s="1">
        <v>3</v>
      </c>
    </row>
    <row r="15" spans="1:4" x14ac:dyDescent="0.25">
      <c r="B15" s="1" t="s">
        <v>55</v>
      </c>
      <c r="C15" s="1" t="s">
        <v>56</v>
      </c>
      <c r="D15" s="1" t="s">
        <v>58</v>
      </c>
    </row>
    <row r="16" spans="1:4" x14ac:dyDescent="0.25">
      <c r="B16" s="1" t="s">
        <v>57</v>
      </c>
      <c r="C16" s="1" t="s">
        <v>60</v>
      </c>
      <c r="D16" s="1" t="s">
        <v>61</v>
      </c>
    </row>
    <row r="17" spans="2:4" x14ac:dyDescent="0.25">
      <c r="B17" s="1" t="s">
        <v>62</v>
      </c>
      <c r="C17" s="1" t="s">
        <v>63</v>
      </c>
      <c r="D17" s="1" t="s">
        <v>55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R54"/>
  <sheetViews>
    <sheetView topLeftCell="A28" zoomScale="150" zoomScaleNormal="150" workbookViewId="0">
      <selection activeCell="C52" sqref="C52"/>
    </sheetView>
  </sheetViews>
  <sheetFormatPr defaultRowHeight="15" x14ac:dyDescent="0.25"/>
  <sheetData>
    <row r="1" spans="2:10" ht="15.75" thickBot="1" x14ac:dyDescent="0.3"/>
    <row r="2" spans="2:10" x14ac:dyDescent="0.25">
      <c r="B2" t="s">
        <v>33</v>
      </c>
      <c r="C2" s="17">
        <v>1</v>
      </c>
      <c r="D2" s="18">
        <v>1</v>
      </c>
    </row>
    <row r="3" spans="2:10" ht="15.75" thickBot="1" x14ac:dyDescent="0.3">
      <c r="C3" s="19">
        <v>1</v>
      </c>
      <c r="D3" s="20">
        <v>-1</v>
      </c>
    </row>
    <row r="4" spans="2:10" ht="15.75" thickBot="1" x14ac:dyDescent="0.3"/>
    <row r="5" spans="2:10" x14ac:dyDescent="0.25">
      <c r="B5" t="s">
        <v>34</v>
      </c>
      <c r="C5" s="17">
        <f t="array" ref="C5:F8">kron(C2:D3,C2:D3)</f>
        <v>1</v>
      </c>
      <c r="D5" s="21">
        <v>1</v>
      </c>
      <c r="E5" s="21">
        <v>1</v>
      </c>
      <c r="F5" s="18">
        <v>1</v>
      </c>
    </row>
    <row r="6" spans="2:10" x14ac:dyDescent="0.25">
      <c r="C6" s="22">
        <v>1</v>
      </c>
      <c r="D6" s="23">
        <v>-1</v>
      </c>
      <c r="E6" s="23">
        <v>1</v>
      </c>
      <c r="F6" s="24">
        <v>-1</v>
      </c>
    </row>
    <row r="7" spans="2:10" x14ac:dyDescent="0.25">
      <c r="C7" s="22">
        <v>1</v>
      </c>
      <c r="D7" s="23">
        <v>1</v>
      </c>
      <c r="E7" s="23">
        <v>-1</v>
      </c>
      <c r="F7" s="24">
        <v>-1</v>
      </c>
    </row>
    <row r="8" spans="2:10" ht="15.75" thickBot="1" x14ac:dyDescent="0.3">
      <c r="C8" s="19">
        <v>1</v>
      </c>
      <c r="D8" s="25">
        <v>-1</v>
      </c>
      <c r="E8" s="25">
        <v>-1</v>
      </c>
      <c r="F8" s="20">
        <v>1</v>
      </c>
    </row>
    <row r="9" spans="2:10" ht="15.75" thickBot="1" x14ac:dyDescent="0.3"/>
    <row r="10" spans="2:10" x14ac:dyDescent="0.25">
      <c r="B10" t="s">
        <v>35</v>
      </c>
      <c r="C10" s="17">
        <f t="array" ref="C10:J17">kron(C2:D3,C5:F8)</f>
        <v>1</v>
      </c>
      <c r="D10" s="21">
        <v>1</v>
      </c>
      <c r="E10" s="21">
        <v>1</v>
      </c>
      <c r="F10" s="21">
        <v>1</v>
      </c>
      <c r="G10" s="21">
        <v>1</v>
      </c>
      <c r="H10" s="21">
        <v>1</v>
      </c>
      <c r="I10" s="21">
        <v>1</v>
      </c>
      <c r="J10" s="18">
        <v>1</v>
      </c>
    </row>
    <row r="11" spans="2:10" x14ac:dyDescent="0.25">
      <c r="C11" s="22">
        <v>1</v>
      </c>
      <c r="D11" s="23">
        <v>-1</v>
      </c>
      <c r="E11" s="23">
        <v>1</v>
      </c>
      <c r="F11" s="23">
        <v>-1</v>
      </c>
      <c r="G11" s="23">
        <v>1</v>
      </c>
      <c r="H11" s="23">
        <v>-1</v>
      </c>
      <c r="I11" s="23">
        <v>1</v>
      </c>
      <c r="J11" s="24">
        <v>-1</v>
      </c>
    </row>
    <row r="12" spans="2:10" x14ac:dyDescent="0.25">
      <c r="C12" s="22">
        <v>1</v>
      </c>
      <c r="D12" s="23">
        <v>1</v>
      </c>
      <c r="E12" s="23">
        <v>-1</v>
      </c>
      <c r="F12" s="23">
        <v>-1</v>
      </c>
      <c r="G12" s="23">
        <v>1</v>
      </c>
      <c r="H12" s="23">
        <v>1</v>
      </c>
      <c r="I12" s="23">
        <v>-1</v>
      </c>
      <c r="J12" s="24">
        <v>-1</v>
      </c>
    </row>
    <row r="13" spans="2:10" x14ac:dyDescent="0.25">
      <c r="C13" s="22">
        <v>1</v>
      </c>
      <c r="D13" s="23">
        <v>-1</v>
      </c>
      <c r="E13" s="23">
        <v>-1</v>
      </c>
      <c r="F13" s="23">
        <v>1</v>
      </c>
      <c r="G13" s="23">
        <v>1</v>
      </c>
      <c r="H13" s="23">
        <v>-1</v>
      </c>
      <c r="I13" s="23">
        <v>-1</v>
      </c>
      <c r="J13" s="24">
        <v>1</v>
      </c>
    </row>
    <row r="14" spans="2:10" x14ac:dyDescent="0.25">
      <c r="C14" s="22">
        <v>1</v>
      </c>
      <c r="D14" s="23">
        <v>1</v>
      </c>
      <c r="E14" s="23">
        <v>1</v>
      </c>
      <c r="F14" s="23">
        <v>1</v>
      </c>
      <c r="G14" s="23">
        <v>-1</v>
      </c>
      <c r="H14" s="23">
        <v>-1</v>
      </c>
      <c r="I14" s="23">
        <v>-1</v>
      </c>
      <c r="J14" s="24">
        <v>-1</v>
      </c>
    </row>
    <row r="15" spans="2:10" x14ac:dyDescent="0.25">
      <c r="C15" s="22">
        <v>1</v>
      </c>
      <c r="D15" s="23">
        <v>-1</v>
      </c>
      <c r="E15" s="23">
        <v>1</v>
      </c>
      <c r="F15" s="23">
        <v>-1</v>
      </c>
      <c r="G15" s="23">
        <v>-1</v>
      </c>
      <c r="H15" s="23">
        <v>1</v>
      </c>
      <c r="I15" s="23">
        <v>-1</v>
      </c>
      <c r="J15" s="24">
        <v>1</v>
      </c>
    </row>
    <row r="16" spans="2:10" x14ac:dyDescent="0.25">
      <c r="C16" s="22">
        <v>1</v>
      </c>
      <c r="D16" s="23">
        <v>1</v>
      </c>
      <c r="E16" s="23">
        <v>-1</v>
      </c>
      <c r="F16" s="23">
        <v>-1</v>
      </c>
      <c r="G16" s="23">
        <v>-1</v>
      </c>
      <c r="H16" s="23">
        <v>-1</v>
      </c>
      <c r="I16" s="23">
        <v>1</v>
      </c>
      <c r="J16" s="24">
        <v>1</v>
      </c>
    </row>
    <row r="17" spans="2:18" ht="15.75" thickBot="1" x14ac:dyDescent="0.3">
      <c r="C17" s="19">
        <v>1</v>
      </c>
      <c r="D17" s="25">
        <v>-1</v>
      </c>
      <c r="E17" s="25">
        <v>-1</v>
      </c>
      <c r="F17" s="25">
        <v>1</v>
      </c>
      <c r="G17" s="25">
        <v>-1</v>
      </c>
      <c r="H17" s="25">
        <v>1</v>
      </c>
      <c r="I17" s="25">
        <v>1</v>
      </c>
      <c r="J17" s="20">
        <v>-1</v>
      </c>
    </row>
    <row r="18" spans="2:18" ht="15.75" thickBot="1" x14ac:dyDescent="0.3"/>
    <row r="19" spans="2:18" ht="18.75" thickBot="1" x14ac:dyDescent="0.4">
      <c r="B19" s="16" t="s">
        <v>29</v>
      </c>
      <c r="C19" s="10">
        <v>0</v>
      </c>
      <c r="D19" s="12">
        <v>1</v>
      </c>
    </row>
    <row r="20" spans="2:18" ht="15.75" thickBot="1" x14ac:dyDescent="0.3"/>
    <row r="21" spans="2:18" ht="18.75" thickBot="1" x14ac:dyDescent="0.4">
      <c r="B21" s="1" t="s">
        <v>30</v>
      </c>
      <c r="C21" s="5">
        <f t="array" ref="C21:D21">MMULT(C19:D19,C2:D3)</f>
        <v>1</v>
      </c>
      <c r="D21" s="7">
        <v>-1</v>
      </c>
    </row>
    <row r="22" spans="2:18" x14ac:dyDescent="0.25">
      <c r="B22" s="1"/>
      <c r="C22" s="55"/>
      <c r="D22" s="55"/>
    </row>
    <row r="23" spans="2:18" x14ac:dyDescent="0.25">
      <c r="B23" s="1"/>
      <c r="C23" s="58" t="s">
        <v>32</v>
      </c>
      <c r="D23" s="55"/>
    </row>
    <row r="24" spans="2:18" x14ac:dyDescent="0.25">
      <c r="B24" s="1"/>
      <c r="C24" s="58" t="s">
        <v>36</v>
      </c>
      <c r="D24" s="55"/>
    </row>
    <row r="25" spans="2:18" ht="15.75" thickBot="1" x14ac:dyDescent="0.3"/>
    <row r="26" spans="2:18" ht="18.75" thickBot="1" x14ac:dyDescent="0.4">
      <c r="B26" s="16" t="s">
        <v>43</v>
      </c>
      <c r="C26" s="5">
        <f t="array" ref="C26:J26">e1_</f>
        <v>1</v>
      </c>
      <c r="D26" s="6">
        <v>1</v>
      </c>
      <c r="E26" s="6">
        <v>1</v>
      </c>
      <c r="F26" s="6">
        <v>1</v>
      </c>
      <c r="G26" s="6">
        <v>1</v>
      </c>
      <c r="H26" s="6">
        <v>1</v>
      </c>
      <c r="I26" s="6">
        <v>1</v>
      </c>
      <c r="J26" s="7">
        <v>1</v>
      </c>
    </row>
    <row r="27" spans="2:18" x14ac:dyDescent="0.25">
      <c r="B27" s="1"/>
      <c r="C27" s="23"/>
      <c r="D27" s="23"/>
      <c r="E27" s="23"/>
      <c r="F27" s="23"/>
      <c r="G27" s="23"/>
      <c r="H27" s="23"/>
      <c r="I27" s="23"/>
      <c r="J27" s="23"/>
    </row>
    <row r="28" spans="2:18" ht="15.75" thickBot="1" x14ac:dyDescent="0.3">
      <c r="B28" s="16" t="s">
        <v>44</v>
      </c>
      <c r="C28" s="39" t="str">
        <f>"0."&amp;Planilha1!D9</f>
        <v>0.000</v>
      </c>
      <c r="D28" s="40" t="str">
        <f>"0."&amp;Planilha1!E9</f>
        <v>0.001</v>
      </c>
      <c r="E28" s="40" t="str">
        <f>"0."&amp;Planilha1!F9</f>
        <v>0.010</v>
      </c>
      <c r="F28" s="40" t="str">
        <f>"0."&amp;Planilha1!G9</f>
        <v>0.011</v>
      </c>
      <c r="G28" s="40" t="str">
        <f>"0."&amp;Planilha1!H9</f>
        <v>0.100</v>
      </c>
      <c r="H28" s="40" t="str">
        <f>"0."&amp;Planilha1!I9</f>
        <v>0.101</v>
      </c>
      <c r="I28" s="40" t="str">
        <f>"0."&amp;Planilha1!J9</f>
        <v>0.110</v>
      </c>
      <c r="J28" s="41" t="str">
        <f>"0."&amp;Planilha1!K9</f>
        <v>0.111</v>
      </c>
      <c r="K28" s="42" t="str">
        <f>"1."&amp;Planilha1!D9</f>
        <v>1.000</v>
      </c>
      <c r="L28" s="43" t="str">
        <f>"1."&amp;Planilha1!E9</f>
        <v>1.001</v>
      </c>
      <c r="M28" s="43" t="str">
        <f>"1."&amp;Planilha1!F9</f>
        <v>1.010</v>
      </c>
      <c r="N28" s="43" t="str">
        <f>"1."&amp;Planilha1!G9</f>
        <v>1.011</v>
      </c>
      <c r="O28" s="43" t="str">
        <f>"1."&amp;Planilha1!H9</f>
        <v>1.100</v>
      </c>
      <c r="P28" s="43" t="str">
        <f>"1."&amp;Planilha1!I9</f>
        <v>1.101</v>
      </c>
      <c r="Q28" s="43" t="str">
        <f>"1."&amp;Planilha1!J9</f>
        <v>1.110</v>
      </c>
      <c r="R28" s="44" t="str">
        <f>"1."&amp;Planilha1!K9</f>
        <v>1.111</v>
      </c>
    </row>
    <row r="29" spans="2:18" ht="18.75" thickBot="1" x14ac:dyDescent="0.4">
      <c r="B29" s="16" t="s">
        <v>45</v>
      </c>
      <c r="C29" s="5">
        <f t="array" ref="C29:R29">kron(q3H1_,e1_)</f>
        <v>1</v>
      </c>
      <c r="D29" s="6">
        <v>1</v>
      </c>
      <c r="E29" s="6">
        <v>1</v>
      </c>
      <c r="F29" s="6">
        <v>1</v>
      </c>
      <c r="G29" s="6">
        <v>1</v>
      </c>
      <c r="H29" s="6">
        <v>1</v>
      </c>
      <c r="I29" s="6">
        <v>1</v>
      </c>
      <c r="J29" s="56">
        <v>1</v>
      </c>
      <c r="K29" s="57">
        <v>-1</v>
      </c>
      <c r="L29" s="6">
        <v>-1</v>
      </c>
      <c r="M29" s="6">
        <v>-1</v>
      </c>
      <c r="N29" s="6">
        <v>-1</v>
      </c>
      <c r="O29" s="6">
        <v>-1</v>
      </c>
      <c r="P29" s="6">
        <v>-1</v>
      </c>
      <c r="Q29" s="6">
        <v>-1</v>
      </c>
      <c r="R29" s="7">
        <v>-1</v>
      </c>
    </row>
    <row r="31" spans="2:18" x14ac:dyDescent="0.25">
      <c r="B31" s="16" t="s">
        <v>31</v>
      </c>
      <c r="C31" s="1" t="str">
        <f>Planilha1!D2</f>
        <v>Alice</v>
      </c>
      <c r="D31" s="1" t="str">
        <f>Planilha1!E2</f>
        <v>Bern.</v>
      </c>
      <c r="E31" s="1" t="str">
        <f>Planilha1!F2</f>
        <v>Carla</v>
      </c>
      <c r="F31" s="1" t="str">
        <f>Planilha1!G2</f>
        <v>Edu</v>
      </c>
      <c r="G31" s="1" t="str">
        <f>Planilha1!H2</f>
        <v>Fern.</v>
      </c>
      <c r="H31" s="1" t="str">
        <f>Planilha1!I2</f>
        <v>Gust.</v>
      </c>
      <c r="I31" s="1" t="str">
        <f>Planilha1!J2</f>
        <v>Helia</v>
      </c>
      <c r="J31" s="1" t="str">
        <f>Planilha1!K2</f>
        <v>Inácio</v>
      </c>
    </row>
    <row r="32" spans="2:18" x14ac:dyDescent="0.25">
      <c r="B32" s="16"/>
      <c r="C32" s="1" t="str">
        <f t="array" ref="C32:J32">dados_</f>
        <v>Errado</v>
      </c>
      <c r="D32" s="1" t="str">
        <v>Errado</v>
      </c>
      <c r="E32" s="1" t="str">
        <v>Errado</v>
      </c>
      <c r="F32" s="1" t="str">
        <v>Errado</v>
      </c>
      <c r="G32" s="1" t="str">
        <v>Certo</v>
      </c>
      <c r="H32" s="1" t="str">
        <v>Errado</v>
      </c>
      <c r="I32" s="1" t="str">
        <v>Errado</v>
      </c>
      <c r="J32" s="1" t="str">
        <v>Errado</v>
      </c>
      <c r="K32" s="1"/>
      <c r="L32" s="1"/>
      <c r="M32" s="1"/>
      <c r="N32" s="1"/>
      <c r="O32" s="1"/>
      <c r="P32" s="1"/>
      <c r="Q32" s="1"/>
      <c r="R32" s="1"/>
    </row>
    <row r="33" spans="2:18" x14ac:dyDescent="0.25">
      <c r="B33" s="16"/>
    </row>
    <row r="34" spans="2:18" x14ac:dyDescent="0.25">
      <c r="C34" s="53" t="str">
        <f t="array" ref="C34:R34">C28:R28</f>
        <v>0.000</v>
      </c>
      <c r="D34" s="43" t="str">
        <v>0.001</v>
      </c>
      <c r="E34" s="43" t="str">
        <v>0.010</v>
      </c>
      <c r="F34" s="43" t="str">
        <v>0.011</v>
      </c>
      <c r="G34" s="43" t="str">
        <v>0.100</v>
      </c>
      <c r="H34" s="43" t="str">
        <v>0.101</v>
      </c>
      <c r="I34" s="43" t="str">
        <v>0.110</v>
      </c>
      <c r="J34" s="54" t="str">
        <v>0.111</v>
      </c>
      <c r="K34" s="42" t="str">
        <v>1.000</v>
      </c>
      <c r="L34" s="43" t="str">
        <v>1.001</v>
      </c>
      <c r="M34" s="43" t="str">
        <v>1.010</v>
      </c>
      <c r="N34" s="43" t="str">
        <v>1.011</v>
      </c>
      <c r="O34" s="43" t="str">
        <v>1.100</v>
      </c>
      <c r="P34" s="43" t="str">
        <v>1.101</v>
      </c>
      <c r="Q34" s="43" t="str">
        <v>1.110</v>
      </c>
      <c r="R34" s="44" t="str">
        <v>1.111</v>
      </c>
    </row>
    <row r="35" spans="2:18" x14ac:dyDescent="0.25">
      <c r="B35" s="45" t="str">
        <f t="array" ref="B35:B50">TRANSPOSE(C28:R28)</f>
        <v>0.000</v>
      </c>
      <c r="C35" s="28">
        <f t="array" ref="C35:R50">IF(oracle3(dados_)=0,"",oracle3(dados_))</f>
        <v>1</v>
      </c>
      <c r="D35" s="29" t="str">
        <v/>
      </c>
      <c r="E35" s="29" t="str">
        <v/>
      </c>
      <c r="F35" s="29" t="str">
        <v/>
      </c>
      <c r="G35" s="29" t="str">
        <v/>
      </c>
      <c r="H35" s="29" t="str">
        <v/>
      </c>
      <c r="I35" s="29" t="str">
        <v/>
      </c>
      <c r="J35" s="30" t="str">
        <v/>
      </c>
      <c r="K35" s="28" t="str">
        <v/>
      </c>
      <c r="L35" s="29" t="str">
        <v/>
      </c>
      <c r="M35" s="29" t="str">
        <v/>
      </c>
      <c r="N35" s="29" t="str">
        <v/>
      </c>
      <c r="O35" s="29" t="str">
        <v/>
      </c>
      <c r="P35" s="29" t="str">
        <v/>
      </c>
      <c r="Q35" s="29" t="str">
        <v/>
      </c>
      <c r="R35" s="31" t="str">
        <v/>
      </c>
    </row>
    <row r="36" spans="2:18" x14ac:dyDescent="0.25">
      <c r="B36" s="46" t="str">
        <v>0.001</v>
      </c>
      <c r="C36" s="32" t="str">
        <v/>
      </c>
      <c r="D36" s="23">
        <v>1</v>
      </c>
      <c r="E36" s="23" t="str">
        <v/>
      </c>
      <c r="F36" s="23" t="str">
        <v/>
      </c>
      <c r="G36" s="23" t="str">
        <v/>
      </c>
      <c r="H36" s="23" t="str">
        <v/>
      </c>
      <c r="I36" s="23" t="str">
        <v/>
      </c>
      <c r="J36" s="26" t="str">
        <v/>
      </c>
      <c r="K36" s="27" t="str">
        <v/>
      </c>
      <c r="L36" s="23" t="str">
        <v/>
      </c>
      <c r="M36" s="23" t="str">
        <v/>
      </c>
      <c r="N36" s="23" t="str">
        <v/>
      </c>
      <c r="O36" s="23" t="str">
        <v/>
      </c>
      <c r="P36" s="23" t="str">
        <v/>
      </c>
      <c r="Q36" s="23" t="str">
        <v/>
      </c>
      <c r="R36" s="33" t="str">
        <v/>
      </c>
    </row>
    <row r="37" spans="2:18" x14ac:dyDescent="0.25">
      <c r="B37" s="46" t="str">
        <v>0.010</v>
      </c>
      <c r="C37" s="32" t="str">
        <v/>
      </c>
      <c r="D37" s="23" t="str">
        <v/>
      </c>
      <c r="E37" s="23">
        <v>1</v>
      </c>
      <c r="F37" s="23" t="str">
        <v/>
      </c>
      <c r="G37" s="23" t="str">
        <v/>
      </c>
      <c r="H37" s="23" t="str">
        <v/>
      </c>
      <c r="I37" s="23" t="str">
        <v/>
      </c>
      <c r="J37" s="26" t="str">
        <v/>
      </c>
      <c r="K37" s="27" t="str">
        <v/>
      </c>
      <c r="L37" s="23" t="str">
        <v/>
      </c>
      <c r="M37" s="23" t="str">
        <v/>
      </c>
      <c r="N37" s="23" t="str">
        <v/>
      </c>
      <c r="O37" s="23" t="str">
        <v/>
      </c>
      <c r="P37" s="23" t="str">
        <v/>
      </c>
      <c r="Q37" s="23" t="str">
        <v/>
      </c>
      <c r="R37" s="33" t="str">
        <v/>
      </c>
    </row>
    <row r="38" spans="2:18" x14ac:dyDescent="0.25">
      <c r="B38" s="46" t="str">
        <v>0.011</v>
      </c>
      <c r="C38" s="32" t="str">
        <v/>
      </c>
      <c r="D38" s="23" t="str">
        <v/>
      </c>
      <c r="E38" s="23" t="str">
        <v/>
      </c>
      <c r="F38" s="23">
        <v>1</v>
      </c>
      <c r="G38" s="23" t="str">
        <v/>
      </c>
      <c r="H38" s="23" t="str">
        <v/>
      </c>
      <c r="I38" s="23" t="str">
        <v/>
      </c>
      <c r="J38" s="26" t="str">
        <v/>
      </c>
      <c r="K38" s="27" t="str">
        <v/>
      </c>
      <c r="L38" s="23" t="str">
        <v/>
      </c>
      <c r="M38" s="23" t="str">
        <v/>
      </c>
      <c r="N38" s="23" t="str">
        <v/>
      </c>
      <c r="O38" s="23" t="str">
        <v/>
      </c>
      <c r="P38" s="23" t="str">
        <v/>
      </c>
      <c r="Q38" s="23" t="str">
        <v/>
      </c>
      <c r="R38" s="33" t="str">
        <v/>
      </c>
    </row>
    <row r="39" spans="2:18" x14ac:dyDescent="0.25">
      <c r="B39" s="46" t="str">
        <v>0.100</v>
      </c>
      <c r="C39" s="32" t="str">
        <v/>
      </c>
      <c r="D39" s="23" t="str">
        <v/>
      </c>
      <c r="E39" s="23" t="str">
        <v/>
      </c>
      <c r="F39" s="23" t="str">
        <v/>
      </c>
      <c r="G39" s="23" t="str">
        <v/>
      </c>
      <c r="H39" s="23" t="str">
        <v/>
      </c>
      <c r="I39" s="23" t="str">
        <v/>
      </c>
      <c r="J39" s="26" t="str">
        <v/>
      </c>
      <c r="K39" s="27" t="str">
        <v/>
      </c>
      <c r="L39" s="23" t="str">
        <v/>
      </c>
      <c r="M39" s="23" t="str">
        <v/>
      </c>
      <c r="N39" s="23" t="str">
        <v/>
      </c>
      <c r="O39" s="23">
        <v>1</v>
      </c>
      <c r="P39" s="23" t="str">
        <v/>
      </c>
      <c r="Q39" s="23" t="str">
        <v/>
      </c>
      <c r="R39" s="33" t="str">
        <v/>
      </c>
    </row>
    <row r="40" spans="2:18" x14ac:dyDescent="0.25">
      <c r="B40" s="46" t="str">
        <v>0.101</v>
      </c>
      <c r="C40" s="32" t="str">
        <v/>
      </c>
      <c r="D40" s="23" t="str">
        <v/>
      </c>
      <c r="E40" s="23" t="str">
        <v/>
      </c>
      <c r="F40" s="23" t="str">
        <v/>
      </c>
      <c r="G40" s="23" t="str">
        <v/>
      </c>
      <c r="H40" s="23">
        <v>1</v>
      </c>
      <c r="I40" s="23" t="str">
        <v/>
      </c>
      <c r="J40" s="26" t="str">
        <v/>
      </c>
      <c r="K40" s="27" t="str">
        <v/>
      </c>
      <c r="L40" s="23" t="str">
        <v/>
      </c>
      <c r="M40" s="23" t="str">
        <v/>
      </c>
      <c r="N40" s="23" t="str">
        <v/>
      </c>
      <c r="O40" s="23" t="str">
        <v/>
      </c>
      <c r="P40" s="23" t="str">
        <v/>
      </c>
      <c r="Q40" s="23" t="str">
        <v/>
      </c>
      <c r="R40" s="33" t="str">
        <v/>
      </c>
    </row>
    <row r="41" spans="2:18" x14ac:dyDescent="0.25">
      <c r="B41" s="46" t="str">
        <v>0.110</v>
      </c>
      <c r="C41" s="32" t="str">
        <v/>
      </c>
      <c r="D41" s="23" t="str">
        <v/>
      </c>
      <c r="E41" s="23" t="str">
        <v/>
      </c>
      <c r="F41" s="23" t="str">
        <v/>
      </c>
      <c r="G41" s="23" t="str">
        <v/>
      </c>
      <c r="H41" s="23" t="str">
        <v/>
      </c>
      <c r="I41" s="23">
        <v>1</v>
      </c>
      <c r="J41" s="26" t="str">
        <v/>
      </c>
      <c r="K41" s="27" t="str">
        <v/>
      </c>
      <c r="L41" s="23" t="str">
        <v/>
      </c>
      <c r="M41" s="23" t="str">
        <v/>
      </c>
      <c r="N41" s="23" t="str">
        <v/>
      </c>
      <c r="O41" s="23" t="str">
        <v/>
      </c>
      <c r="P41" s="23" t="str">
        <v/>
      </c>
      <c r="Q41" s="23" t="str">
        <v/>
      </c>
      <c r="R41" s="33" t="str">
        <v/>
      </c>
    </row>
    <row r="42" spans="2:18" x14ac:dyDescent="0.25">
      <c r="B42" s="46" t="str">
        <v>0.111</v>
      </c>
      <c r="C42" s="48" t="str">
        <v/>
      </c>
      <c r="D42" s="49" t="str">
        <v/>
      </c>
      <c r="E42" s="49" t="str">
        <v/>
      </c>
      <c r="F42" s="49" t="str">
        <v/>
      </c>
      <c r="G42" s="49" t="str">
        <v/>
      </c>
      <c r="H42" s="49" t="str">
        <v/>
      </c>
      <c r="I42" s="49" t="str">
        <v/>
      </c>
      <c r="J42" s="50">
        <v>1</v>
      </c>
      <c r="K42" s="51" t="str">
        <v/>
      </c>
      <c r="L42" s="49" t="str">
        <v/>
      </c>
      <c r="M42" s="49" t="str">
        <v/>
      </c>
      <c r="N42" s="49" t="str">
        <v/>
      </c>
      <c r="O42" s="49" t="str">
        <v/>
      </c>
      <c r="P42" s="49" t="str">
        <v/>
      </c>
      <c r="Q42" s="49" t="str">
        <v/>
      </c>
      <c r="R42" s="52" t="str">
        <v/>
      </c>
    </row>
    <row r="43" spans="2:18" x14ac:dyDescent="0.25">
      <c r="B43" s="46" t="str">
        <v>1.000</v>
      </c>
      <c r="C43" s="28" t="str">
        <v/>
      </c>
      <c r="D43" s="23" t="str">
        <v/>
      </c>
      <c r="E43" s="23" t="str">
        <v/>
      </c>
      <c r="F43" s="23" t="str">
        <v/>
      </c>
      <c r="G43" s="23" t="str">
        <v/>
      </c>
      <c r="H43" s="23" t="str">
        <v/>
      </c>
      <c r="I43" s="23" t="str">
        <v/>
      </c>
      <c r="J43" s="26" t="str">
        <v/>
      </c>
      <c r="K43" s="27">
        <v>1</v>
      </c>
      <c r="L43" s="23" t="str">
        <v/>
      </c>
      <c r="M43" s="23" t="str">
        <v/>
      </c>
      <c r="N43" s="23" t="str">
        <v/>
      </c>
      <c r="O43" s="23" t="str">
        <v/>
      </c>
      <c r="P43" s="23" t="str">
        <v/>
      </c>
      <c r="Q43" s="23" t="str">
        <v/>
      </c>
      <c r="R43" s="33" t="str">
        <v/>
      </c>
    </row>
    <row r="44" spans="2:18" x14ac:dyDescent="0.25">
      <c r="B44" s="46" t="str">
        <v>1.001</v>
      </c>
      <c r="C44" s="32" t="str">
        <v/>
      </c>
      <c r="D44" s="23" t="str">
        <v/>
      </c>
      <c r="E44" s="23" t="str">
        <v/>
      </c>
      <c r="F44" s="23" t="str">
        <v/>
      </c>
      <c r="G44" s="23" t="str">
        <v/>
      </c>
      <c r="H44" s="23" t="str">
        <v/>
      </c>
      <c r="I44" s="23" t="str">
        <v/>
      </c>
      <c r="J44" s="26" t="str">
        <v/>
      </c>
      <c r="K44" s="27" t="str">
        <v/>
      </c>
      <c r="L44" s="23">
        <v>1</v>
      </c>
      <c r="M44" s="23" t="str">
        <v/>
      </c>
      <c r="N44" s="23" t="str">
        <v/>
      </c>
      <c r="O44" s="23" t="str">
        <v/>
      </c>
      <c r="P44" s="23" t="str">
        <v/>
      </c>
      <c r="Q44" s="23" t="str">
        <v/>
      </c>
      <c r="R44" s="33" t="str">
        <v/>
      </c>
    </row>
    <row r="45" spans="2:18" x14ac:dyDescent="0.25">
      <c r="B45" s="46" t="str">
        <v>1.010</v>
      </c>
      <c r="C45" s="32" t="str">
        <v/>
      </c>
      <c r="D45" s="23" t="str">
        <v/>
      </c>
      <c r="E45" s="23" t="str">
        <v/>
      </c>
      <c r="F45" s="23" t="str">
        <v/>
      </c>
      <c r="G45" s="23" t="str">
        <v/>
      </c>
      <c r="H45" s="23" t="str">
        <v/>
      </c>
      <c r="I45" s="23" t="str">
        <v/>
      </c>
      <c r="J45" s="26" t="str">
        <v/>
      </c>
      <c r="K45" s="27" t="str">
        <v/>
      </c>
      <c r="L45" s="23" t="str">
        <v/>
      </c>
      <c r="M45" s="23">
        <v>1</v>
      </c>
      <c r="N45" s="23" t="str">
        <v/>
      </c>
      <c r="O45" s="23" t="str">
        <v/>
      </c>
      <c r="P45" s="23" t="str">
        <v/>
      </c>
      <c r="Q45" s="23" t="str">
        <v/>
      </c>
      <c r="R45" s="33" t="str">
        <v/>
      </c>
    </row>
    <row r="46" spans="2:18" x14ac:dyDescent="0.25">
      <c r="B46" s="46" t="str">
        <v>1.011</v>
      </c>
      <c r="C46" s="32" t="str">
        <v/>
      </c>
      <c r="D46" s="23" t="str">
        <v/>
      </c>
      <c r="E46" s="23" t="str">
        <v/>
      </c>
      <c r="F46" s="23" t="str">
        <v/>
      </c>
      <c r="G46" s="23" t="str">
        <v/>
      </c>
      <c r="H46" s="23" t="str">
        <v/>
      </c>
      <c r="I46" s="23" t="str">
        <v/>
      </c>
      <c r="J46" s="26" t="str">
        <v/>
      </c>
      <c r="K46" s="27" t="str">
        <v/>
      </c>
      <c r="L46" s="23" t="str">
        <v/>
      </c>
      <c r="M46" s="23" t="str">
        <v/>
      </c>
      <c r="N46" s="23">
        <v>1</v>
      </c>
      <c r="O46" s="23" t="str">
        <v/>
      </c>
      <c r="P46" s="23" t="str">
        <v/>
      </c>
      <c r="Q46" s="23" t="str">
        <v/>
      </c>
      <c r="R46" s="33" t="str">
        <v/>
      </c>
    </row>
    <row r="47" spans="2:18" x14ac:dyDescent="0.25">
      <c r="B47" s="46" t="str">
        <v>1.100</v>
      </c>
      <c r="C47" s="32" t="str">
        <v/>
      </c>
      <c r="D47" s="23" t="str">
        <v/>
      </c>
      <c r="E47" s="23" t="str">
        <v/>
      </c>
      <c r="F47" s="23" t="str">
        <v/>
      </c>
      <c r="G47" s="23">
        <v>1</v>
      </c>
      <c r="H47" s="23" t="str">
        <v/>
      </c>
      <c r="I47" s="23" t="str">
        <v/>
      </c>
      <c r="J47" s="26" t="str">
        <v/>
      </c>
      <c r="K47" s="27" t="str">
        <v/>
      </c>
      <c r="L47" s="23" t="str">
        <v/>
      </c>
      <c r="M47" s="23" t="str">
        <v/>
      </c>
      <c r="N47" s="23" t="str">
        <v/>
      </c>
      <c r="O47" s="23" t="str">
        <v/>
      </c>
      <c r="P47" s="23" t="str">
        <v/>
      </c>
      <c r="Q47" s="23" t="str">
        <v/>
      </c>
      <c r="R47" s="33" t="str">
        <v/>
      </c>
    </row>
    <row r="48" spans="2:18" x14ac:dyDescent="0.25">
      <c r="B48" s="46" t="str">
        <v>1.101</v>
      </c>
      <c r="C48" s="32" t="str">
        <v/>
      </c>
      <c r="D48" s="23" t="str">
        <v/>
      </c>
      <c r="E48" s="23" t="str">
        <v/>
      </c>
      <c r="F48" s="23" t="str">
        <v/>
      </c>
      <c r="G48" s="23" t="str">
        <v/>
      </c>
      <c r="H48" s="23" t="str">
        <v/>
      </c>
      <c r="I48" s="23" t="str">
        <v/>
      </c>
      <c r="J48" s="26" t="str">
        <v/>
      </c>
      <c r="K48" s="27" t="str">
        <v/>
      </c>
      <c r="L48" s="23" t="str">
        <v/>
      </c>
      <c r="M48" s="23" t="str">
        <v/>
      </c>
      <c r="N48" s="23" t="str">
        <v/>
      </c>
      <c r="O48" s="23" t="str">
        <v/>
      </c>
      <c r="P48" s="23">
        <v>1</v>
      </c>
      <c r="Q48" s="23" t="str">
        <v/>
      </c>
      <c r="R48" s="33" t="str">
        <v/>
      </c>
    </row>
    <row r="49" spans="2:18" x14ac:dyDescent="0.25">
      <c r="B49" s="46" t="str">
        <v>1.110</v>
      </c>
      <c r="C49" s="32" t="str">
        <v/>
      </c>
      <c r="D49" s="23" t="str">
        <v/>
      </c>
      <c r="E49" s="23" t="str">
        <v/>
      </c>
      <c r="F49" s="23" t="str">
        <v/>
      </c>
      <c r="G49" s="23" t="str">
        <v/>
      </c>
      <c r="H49" s="23" t="str">
        <v/>
      </c>
      <c r="I49" s="23" t="str">
        <v/>
      </c>
      <c r="J49" s="26" t="str">
        <v/>
      </c>
      <c r="K49" s="27" t="str">
        <v/>
      </c>
      <c r="L49" s="23" t="str">
        <v/>
      </c>
      <c r="M49" s="23" t="str">
        <v/>
      </c>
      <c r="N49" s="23" t="str">
        <v/>
      </c>
      <c r="O49" s="23" t="str">
        <v/>
      </c>
      <c r="P49" s="23" t="str">
        <v/>
      </c>
      <c r="Q49" s="23">
        <v>1</v>
      </c>
      <c r="R49" s="33" t="str">
        <v/>
      </c>
    </row>
    <row r="50" spans="2:18" x14ac:dyDescent="0.25">
      <c r="B50" s="47" t="str">
        <v>1.111</v>
      </c>
      <c r="C50" s="34" t="str">
        <v/>
      </c>
      <c r="D50" s="35" t="str">
        <v/>
      </c>
      <c r="E50" s="35" t="str">
        <v/>
      </c>
      <c r="F50" s="35" t="str">
        <v/>
      </c>
      <c r="G50" s="35" t="str">
        <v/>
      </c>
      <c r="H50" s="35" t="str">
        <v/>
      </c>
      <c r="I50" s="35" t="str">
        <v/>
      </c>
      <c r="J50" s="36" t="str">
        <v/>
      </c>
      <c r="K50" s="37" t="str">
        <v/>
      </c>
      <c r="L50" s="35" t="str">
        <v/>
      </c>
      <c r="M50" s="35" t="str">
        <v/>
      </c>
      <c r="N50" s="35" t="str">
        <v/>
      </c>
      <c r="O50" s="35" t="str">
        <v/>
      </c>
      <c r="P50" s="35" t="str">
        <v/>
      </c>
      <c r="Q50" s="35" t="str">
        <v/>
      </c>
      <c r="R50" s="38">
        <v>1</v>
      </c>
    </row>
    <row r="51" spans="2:18" ht="15.75" thickBot="1" x14ac:dyDescent="0.3"/>
    <row r="52" spans="2:18" ht="18.75" thickBot="1" x14ac:dyDescent="0.4">
      <c r="B52" s="16" t="s">
        <v>46</v>
      </c>
      <c r="C52" s="5">
        <f t="array" ref="C52:R52">MMULT(q3H1_x_e1_,oracle3(dados_))</f>
        <v>1</v>
      </c>
      <c r="D52" s="6">
        <v>1</v>
      </c>
      <c r="E52" s="6">
        <v>1</v>
      </c>
      <c r="F52" s="6">
        <v>1</v>
      </c>
      <c r="G52" s="6">
        <v>-1</v>
      </c>
      <c r="H52" s="6">
        <v>1</v>
      </c>
      <c r="I52" s="6">
        <v>1</v>
      </c>
      <c r="J52" s="56">
        <v>1</v>
      </c>
      <c r="K52" s="57">
        <v>-1</v>
      </c>
      <c r="L52" s="6">
        <v>-1</v>
      </c>
      <c r="M52" s="6">
        <v>-1</v>
      </c>
      <c r="N52" s="6">
        <v>-1</v>
      </c>
      <c r="O52" s="6">
        <v>1</v>
      </c>
      <c r="P52" s="6">
        <v>-1</v>
      </c>
      <c r="Q52" s="6">
        <v>-1</v>
      </c>
      <c r="R52" s="7">
        <v>-1</v>
      </c>
    </row>
    <row r="54" spans="2:18" x14ac:dyDescent="0.25">
      <c r="B54" s="1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13</vt:i4>
      </vt:variant>
    </vt:vector>
  </HeadingPairs>
  <TitlesOfParts>
    <vt:vector size="16" baseType="lpstr">
      <vt:lpstr>Planilha1</vt:lpstr>
      <vt:lpstr>Planilha3</vt:lpstr>
      <vt:lpstr>Planilha2</vt:lpstr>
      <vt:lpstr>dados_</vt:lpstr>
      <vt:lpstr>e0_</vt:lpstr>
      <vt:lpstr>e1_</vt:lpstr>
      <vt:lpstr>e2_</vt:lpstr>
      <vt:lpstr>e3_</vt:lpstr>
      <vt:lpstr>e4_</vt:lpstr>
      <vt:lpstr>e5_</vt:lpstr>
      <vt:lpstr>H1_</vt:lpstr>
      <vt:lpstr>H2_</vt:lpstr>
      <vt:lpstr>H3_</vt:lpstr>
      <vt:lpstr>q3_</vt:lpstr>
      <vt:lpstr>q3H1_</vt:lpstr>
      <vt:lpstr>q3H1_x_e1_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2024-03-09T14:08:41Z</dcterms:created>
  <dcterms:modified xsi:type="dcterms:W3CDTF">2024-03-09T23:38:08Z</dcterms:modified>
</cp:coreProperties>
</file>